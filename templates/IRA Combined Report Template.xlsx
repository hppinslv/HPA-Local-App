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Quickbooks\ExcelDocs\"/>
    </mc:Choice>
  </mc:AlternateContent>
  <xr:revisionPtr revIDLastSave="0" documentId="13_ncr:1_{E9645A3B-5F2D-41CF-A433-6663678C7F75}" xr6:coauthVersionLast="47" xr6:coauthVersionMax="47" xr10:uidLastSave="{00000000-0000-0000-0000-000000000000}"/>
  <bookViews>
    <workbookView xWindow="-120" yWindow="-120" windowWidth="29040" windowHeight="15840" firstSheet="191" activeTab="199" xr2:uid="{1EB17F02-26B6-4C82-B7F2-41573AEB9836}"/>
  </bookViews>
  <sheets>
    <sheet name="Nov 2009 IRA " sheetId="1" r:id="rId1"/>
    <sheet name="Dec 2009 IRA" sheetId="2" r:id="rId2"/>
    <sheet name="Sheet3" sheetId="3" r:id="rId3"/>
    <sheet name="Jan 2010" sheetId="4" r:id="rId4"/>
    <sheet name="Feb 2010" sheetId="5" r:id="rId5"/>
    <sheet name="March 2010 " sheetId="6" r:id="rId6"/>
    <sheet name="April 2010" sheetId="7" r:id="rId7"/>
    <sheet name="May 2010" sheetId="8" r:id="rId8"/>
    <sheet name="June 2010 " sheetId="9" r:id="rId9"/>
    <sheet name="July 2010 " sheetId="10" r:id="rId10"/>
    <sheet name="August 2010" sheetId="11" r:id="rId11"/>
    <sheet name="Sept 2010" sheetId="12" r:id="rId12"/>
    <sheet name="Oct 2010 " sheetId="13" r:id="rId13"/>
    <sheet name="Nov 2010" sheetId="14" r:id="rId14"/>
    <sheet name="Dec 2010" sheetId="15" r:id="rId15"/>
    <sheet name="Jan 2011" sheetId="16" r:id="rId16"/>
    <sheet name="Feb 2011 " sheetId="17" r:id="rId17"/>
    <sheet name="Mar 2011" sheetId="18" r:id="rId18"/>
    <sheet name="April 2011" sheetId="19" r:id="rId19"/>
    <sheet name="May 2011" sheetId="20" r:id="rId20"/>
    <sheet name="June 2011" sheetId="21" r:id="rId21"/>
    <sheet name="July 2011" sheetId="22" r:id="rId22"/>
    <sheet name="August 2011 " sheetId="23" r:id="rId23"/>
    <sheet name="Sept 2011 " sheetId="24" r:id="rId24"/>
    <sheet name="Oct 2011  " sheetId="25" r:id="rId25"/>
    <sheet name="Nov 2011" sheetId="26" r:id="rId26"/>
    <sheet name="Dec 2011 " sheetId="27" r:id="rId27"/>
    <sheet name="Jan 2012" sheetId="28" r:id="rId28"/>
    <sheet name="Feb 2012 " sheetId="29" r:id="rId29"/>
    <sheet name="March 2012" sheetId="30" r:id="rId30"/>
    <sheet name="April 2012" sheetId="31" r:id="rId31"/>
    <sheet name="May 2012" sheetId="32" r:id="rId32"/>
    <sheet name="June 2012" sheetId="33" r:id="rId33"/>
    <sheet name="July 2012" sheetId="34" r:id="rId34"/>
    <sheet name="Aug 2012" sheetId="35" r:id="rId35"/>
    <sheet name="Sept 2012 " sheetId="36" r:id="rId36"/>
    <sheet name="Oct  2012" sheetId="37" r:id="rId37"/>
    <sheet name="Nov 2012" sheetId="38" r:id="rId38"/>
    <sheet name="Dec 2012" sheetId="39" r:id="rId39"/>
    <sheet name="Jan 2013" sheetId="40" r:id="rId40"/>
    <sheet name="Feb 2013" sheetId="41" r:id="rId41"/>
    <sheet name="March 2013" sheetId="42" r:id="rId42"/>
    <sheet name="April 2013" sheetId="43" r:id="rId43"/>
    <sheet name="May 2013" sheetId="44" r:id="rId44"/>
    <sheet name="June 2013" sheetId="45" r:id="rId45"/>
    <sheet name="July 2013" sheetId="46" r:id="rId46"/>
    <sheet name="August 2013" sheetId="47" r:id="rId47"/>
    <sheet name="Sept 2013" sheetId="48" r:id="rId48"/>
    <sheet name="Oct 2013 " sheetId="49" r:id="rId49"/>
    <sheet name="Nov 2013" sheetId="50" r:id="rId50"/>
    <sheet name="DEC 2013" sheetId="51" r:id="rId51"/>
    <sheet name="Jan 2014" sheetId="52" r:id="rId52"/>
    <sheet name="Feb 2014" sheetId="53" r:id="rId53"/>
    <sheet name="March 2014" sheetId="54" r:id="rId54"/>
    <sheet name="Apri 2014)" sheetId="55" r:id="rId55"/>
    <sheet name="May 2014" sheetId="56" r:id="rId56"/>
    <sheet name="June 2014" sheetId="57" r:id="rId57"/>
    <sheet name="July 2014" sheetId="58" r:id="rId58"/>
    <sheet name="August 2014" sheetId="59" r:id="rId59"/>
    <sheet name="Sept 2014" sheetId="60" r:id="rId60"/>
    <sheet name="Oct 2014" sheetId="61" r:id="rId61"/>
    <sheet name="Nov 2014" sheetId="62" r:id="rId62"/>
    <sheet name="Dec 2014" sheetId="63" r:id="rId63"/>
    <sheet name="Jan 2015" sheetId="64" r:id="rId64"/>
    <sheet name="Feb 2015" sheetId="65" r:id="rId65"/>
    <sheet name="March 2015" sheetId="66" r:id="rId66"/>
    <sheet name="April 2015" sheetId="67" r:id="rId67"/>
    <sheet name="May 2015" sheetId="68" r:id="rId68"/>
    <sheet name="Sheet1" sheetId="69" r:id="rId69"/>
    <sheet name="June 2015" sheetId="70" r:id="rId70"/>
    <sheet name="July 2015" sheetId="71" r:id="rId71"/>
    <sheet name="Aug 2015" sheetId="72" r:id="rId72"/>
    <sheet name="Sept 2015" sheetId="73" r:id="rId73"/>
    <sheet name="Oct 2015" sheetId="74" r:id="rId74"/>
    <sheet name="Nov 2015" sheetId="75" r:id="rId75"/>
    <sheet name="Dec 2015" sheetId="76" r:id="rId76"/>
    <sheet name="Jan 2016" sheetId="77" r:id="rId77"/>
    <sheet name="Feb 2016" sheetId="78" r:id="rId78"/>
    <sheet name="March 2016" sheetId="79" r:id="rId79"/>
    <sheet name="April 2016" sheetId="80" r:id="rId80"/>
    <sheet name="May 2016" sheetId="81" r:id="rId81"/>
    <sheet name="June 2016" sheetId="82" r:id="rId82"/>
    <sheet name="July 2016" sheetId="83" r:id="rId83"/>
    <sheet name="Aug 2016" sheetId="84" r:id="rId84"/>
    <sheet name="Sept 2016" sheetId="85" r:id="rId85"/>
    <sheet name="Oct 2016" sheetId="86" r:id="rId86"/>
    <sheet name="Nov 2016" sheetId="88" r:id="rId87"/>
    <sheet name="Dec 2016" sheetId="89" r:id="rId88"/>
    <sheet name="Jan 2017" sheetId="90" r:id="rId89"/>
    <sheet name="February 2017" sheetId="91" r:id="rId90"/>
    <sheet name="March 2017" sheetId="92" r:id="rId91"/>
    <sheet name="April 2017" sheetId="93" r:id="rId92"/>
    <sheet name="May 2017" sheetId="94" r:id="rId93"/>
    <sheet name="June 2017" sheetId="95" r:id="rId94"/>
    <sheet name="July 2017" sheetId="96" r:id="rId95"/>
    <sheet name="August 2017" sheetId="97" r:id="rId96"/>
    <sheet name="September 2017" sheetId="99" r:id="rId97"/>
    <sheet name="October 2017" sheetId="100" r:id="rId98"/>
    <sheet name="November 2017" sheetId="101" r:id="rId99"/>
    <sheet name="December 2017" sheetId="102" r:id="rId100"/>
    <sheet name="January 2018" sheetId="103" r:id="rId101"/>
    <sheet name="February 2018" sheetId="104" r:id="rId102"/>
    <sheet name="March 2018" sheetId="105" r:id="rId103"/>
    <sheet name="April 2018" sheetId="107" r:id="rId104"/>
    <sheet name="May 2018" sheetId="109" r:id="rId105"/>
    <sheet name="June 2018" sheetId="110" r:id="rId106"/>
    <sheet name="July 2018" sheetId="111" r:id="rId107"/>
    <sheet name="August 2018" sheetId="112" r:id="rId108"/>
    <sheet name="September 2018" sheetId="113" r:id="rId109"/>
    <sheet name="October 2018" sheetId="114" r:id="rId110"/>
    <sheet name="November 2018" sheetId="115" r:id="rId111"/>
    <sheet name="December 2018" sheetId="116" r:id="rId112"/>
    <sheet name="January 2019" sheetId="117" r:id="rId113"/>
    <sheet name="February 2019" sheetId="118" r:id="rId114"/>
    <sheet name="April 2019" sheetId="119" r:id="rId115"/>
    <sheet name="May 2019" sheetId="120" r:id="rId116"/>
    <sheet name="June 2019" sheetId="122" r:id="rId117"/>
    <sheet name="July 2019" sheetId="121" r:id="rId118"/>
    <sheet name="August 2019" sheetId="123" r:id="rId119"/>
    <sheet name="September 2019" sheetId="124" r:id="rId120"/>
    <sheet name="October 2019" sheetId="125" r:id="rId121"/>
    <sheet name="November 2019" sheetId="126" r:id="rId122"/>
    <sheet name="December 2019" sheetId="127" r:id="rId123"/>
    <sheet name="January 2020" sheetId="128" r:id="rId124"/>
    <sheet name="February 2020" sheetId="129" r:id="rId125"/>
    <sheet name="March 2020" sheetId="130" r:id="rId126"/>
    <sheet name="April 2020" sheetId="131" r:id="rId127"/>
    <sheet name="May 2020" sheetId="132" r:id="rId128"/>
    <sheet name="June 2020" sheetId="133" r:id="rId129"/>
    <sheet name="July 2020" sheetId="134" r:id="rId130"/>
    <sheet name="August 2020" sheetId="137" r:id="rId131"/>
    <sheet name="September 2020" sheetId="136" r:id="rId132"/>
    <sheet name="October 2020" sheetId="135" r:id="rId133"/>
    <sheet name="November 2020" sheetId="138" r:id="rId134"/>
    <sheet name="December 2020" sheetId="139" r:id="rId135"/>
    <sheet name="January 2021" sheetId="140" r:id="rId136"/>
    <sheet name="February 2021" sheetId="141" r:id="rId137"/>
    <sheet name="March 2021" sheetId="142" r:id="rId138"/>
    <sheet name="April 2021" sheetId="143" r:id="rId139"/>
    <sheet name="May 2021" sheetId="144" r:id="rId140"/>
    <sheet name="June 2021" sheetId="145" r:id="rId141"/>
    <sheet name="July 2021" sheetId="146" r:id="rId142"/>
    <sheet name="August 2021" sheetId="147" r:id="rId143"/>
    <sheet name="September 2021" sheetId="148" r:id="rId144"/>
    <sheet name="October 2021" sheetId="149" r:id="rId145"/>
    <sheet name="November 2021" sheetId="151" r:id="rId146"/>
    <sheet name="December 2021" sheetId="152" r:id="rId147"/>
    <sheet name="January 2022" sheetId="153" r:id="rId148"/>
    <sheet name="February 2022" sheetId="154" r:id="rId149"/>
    <sheet name="March 2022" sheetId="155" r:id="rId150"/>
    <sheet name="April 2022" sheetId="156" r:id="rId151"/>
    <sheet name="May 2022" sheetId="157" r:id="rId152"/>
    <sheet name="June 2022" sheetId="158" r:id="rId153"/>
    <sheet name="July 2022" sheetId="159" r:id="rId154"/>
    <sheet name="August 2022" sheetId="160" r:id="rId155"/>
    <sheet name="September 2022" sheetId="161" r:id="rId156"/>
    <sheet name="October 2022" sheetId="162" r:id="rId157"/>
    <sheet name="November 2022" sheetId="164" r:id="rId158"/>
    <sheet name="December 2022" sheetId="165" r:id="rId159"/>
    <sheet name="January 2023" sheetId="166" r:id="rId160"/>
    <sheet name="February 2023" sheetId="163" r:id="rId161"/>
    <sheet name="March 2023" sheetId="167" r:id="rId162"/>
    <sheet name="April 2023" sheetId="168" r:id="rId163"/>
    <sheet name="May 2023" sheetId="170" r:id="rId164"/>
    <sheet name="June 2023" sheetId="171" r:id="rId165"/>
    <sheet name="July 2023" sheetId="169" r:id="rId166"/>
    <sheet name="August 2023" sheetId="172" r:id="rId167"/>
    <sheet name="September 2023" sheetId="173" r:id="rId168"/>
    <sheet name="October 2023" sheetId="174" r:id="rId169"/>
    <sheet name="November 2023" sheetId="175" r:id="rId170"/>
    <sheet name="December 2023" sheetId="176" r:id="rId171"/>
    <sheet name="January 2024" sheetId="177" r:id="rId172"/>
    <sheet name="February 2024" sheetId="178" r:id="rId173"/>
    <sheet name="March 2024" sheetId="179" r:id="rId174"/>
    <sheet name="April 2024" sheetId="180" r:id="rId175"/>
    <sheet name="May 2024" sheetId="181" r:id="rId176"/>
    <sheet name="June 2024" sheetId="182" r:id="rId177"/>
    <sheet name="July 2024" sheetId="183" r:id="rId178"/>
    <sheet name="August 2024" sheetId="184" r:id="rId179"/>
    <sheet name="September 2024" sheetId="186" r:id="rId180"/>
    <sheet name="October 2024" sheetId="187" r:id="rId181"/>
    <sheet name="November 2024" sheetId="188" r:id="rId182"/>
    <sheet name="December 2024" sheetId="185" r:id="rId183"/>
    <sheet name="January 2025" sheetId="189" r:id="rId184"/>
    <sheet name="February 2025" sheetId="190" r:id="rId185"/>
    <sheet name="March 2025" sheetId="193" r:id="rId186"/>
    <sheet name="April 2025" sheetId="196" r:id="rId187"/>
    <sheet name="May 2025" sheetId="197" r:id="rId188"/>
    <sheet name="June 2025" sheetId="198" r:id="rId189"/>
    <sheet name="July 2025" sheetId="199" r:id="rId190"/>
    <sheet name="August 2025" sheetId="200" r:id="rId191"/>
    <sheet name="September 2025" sheetId="202" r:id="rId192"/>
    <sheet name="October 2025" sheetId="204" r:id="rId193"/>
    <sheet name="November 2025" sheetId="206" r:id="rId194"/>
    <sheet name="December 2025" sheetId="207" r:id="rId195"/>
    <sheet name="January 2026" sheetId="208" r:id="rId196"/>
    <sheet name="Template" sheetId="108" r:id="rId197"/>
    <sheet name="Number Input" sheetId="150" r:id="rId198"/>
    <sheet name="Sheet6" sheetId="201" r:id="rId199"/>
    <sheet name="Sheet4" sheetId="205" r:id="rId200"/>
  </sheets>
  <definedNames>
    <definedName name="_xlnm.Print_Area" localSheetId="54">'Apri 2014)'!$A$1:$E$38</definedName>
    <definedName name="_xlnm.Print_Area" localSheetId="18">'April 2011'!$A$1:$E$33</definedName>
    <definedName name="_xlnm.Print_Area" localSheetId="30">'April 2012'!$A$1:$E$38</definedName>
    <definedName name="_xlnm.Print_Area" localSheetId="42">'April 2013'!$A$1:$E$38</definedName>
    <definedName name="_xlnm.Print_Area" localSheetId="66">'April 2015'!$A$1:$E$38</definedName>
    <definedName name="_xlnm.Print_Area" localSheetId="79">'April 2016'!$A$1:$E$38</definedName>
    <definedName name="_xlnm.Print_Area" localSheetId="91">'April 2017'!$A$1:$E$38</definedName>
    <definedName name="_xlnm.Print_Area" localSheetId="34">'Aug 2012'!$A$1:$E$38</definedName>
    <definedName name="_xlnm.Print_Area" localSheetId="71">'Aug 2015'!$A$1:$E$38</definedName>
    <definedName name="_xlnm.Print_Area" localSheetId="83">'Aug 2016'!$A$1:$E$38</definedName>
    <definedName name="_xlnm.Print_Area" localSheetId="22">'August 2011 '!$A$1:$E$33</definedName>
    <definedName name="_xlnm.Print_Area" localSheetId="46">'August 2013'!$A$1:$E$38</definedName>
    <definedName name="_xlnm.Print_Area" localSheetId="58">'August 2014'!$A$1:$E$38</definedName>
    <definedName name="_xlnm.Print_Area" localSheetId="95">'August 2017'!$A$1:$E$38</definedName>
    <definedName name="_xlnm.Print_Area" localSheetId="14">'Dec 2010'!$A$1:$E$33</definedName>
    <definedName name="_xlnm.Print_Area" localSheetId="26">'Dec 2011 '!$A$1:$E$38</definedName>
    <definedName name="_xlnm.Print_Area" localSheetId="38">'Dec 2012'!$A$1:$E$38</definedName>
    <definedName name="_xlnm.Print_Area" localSheetId="50">'DEC 2013'!$A$1:$E$38</definedName>
    <definedName name="_xlnm.Print_Area" localSheetId="62">'Dec 2014'!$A$1:$E$38</definedName>
    <definedName name="_xlnm.Print_Area" localSheetId="75">'Dec 2015'!$A$1:$E$38</definedName>
    <definedName name="_xlnm.Print_Area" localSheetId="87">'Dec 2016'!$A$1:$E$38</definedName>
    <definedName name="_xlnm.Print_Area" localSheetId="16">'Feb 2011 '!$A$1:$E$33</definedName>
    <definedName name="_xlnm.Print_Area" localSheetId="28">'Feb 2012 '!$A$1:$E$38</definedName>
    <definedName name="_xlnm.Print_Area" localSheetId="40">'Feb 2013'!$A$1:$E$38</definedName>
    <definedName name="_xlnm.Print_Area" localSheetId="52">'Feb 2014'!$A$1:$E$38</definedName>
    <definedName name="_xlnm.Print_Area" localSheetId="64">'Feb 2015'!$A$1:$E$38</definedName>
    <definedName name="_xlnm.Print_Area" localSheetId="77">'Feb 2016'!$A$1:$E$38</definedName>
    <definedName name="_xlnm.Print_Area" localSheetId="89">'February 2017'!$A$1:$E$38</definedName>
    <definedName name="_xlnm.Print_Area" localSheetId="15">'Jan 2011'!$A$1:$E$33</definedName>
    <definedName name="_xlnm.Print_Area" localSheetId="27">'Jan 2012'!$A$1:$E$38</definedName>
    <definedName name="_xlnm.Print_Area" localSheetId="39">'Jan 2013'!$A$1:$E$38</definedName>
    <definedName name="_xlnm.Print_Area" localSheetId="51">'Jan 2014'!$A$1:$E$38</definedName>
    <definedName name="_xlnm.Print_Area" localSheetId="63">'Jan 2015'!$A$1:$E$38</definedName>
    <definedName name="_xlnm.Print_Area" localSheetId="76">'Jan 2016'!$A$1:$E$38</definedName>
    <definedName name="_xlnm.Print_Area" localSheetId="88">'Jan 2017'!$A$1:$E$38</definedName>
    <definedName name="_xlnm.Print_Area" localSheetId="21">'July 2011'!$A$1:$E$33</definedName>
    <definedName name="_xlnm.Print_Area" localSheetId="33">'July 2012'!$A$1:$E$38</definedName>
    <definedName name="_xlnm.Print_Area" localSheetId="45">'July 2013'!$A$1:$E$38</definedName>
    <definedName name="_xlnm.Print_Area" localSheetId="57">'July 2014'!$A$1:$E$38</definedName>
    <definedName name="_xlnm.Print_Area" localSheetId="70">'July 2015'!$A$1:$E$38</definedName>
    <definedName name="_xlnm.Print_Area" localSheetId="82">'July 2016'!$A$1:$E$38</definedName>
    <definedName name="_xlnm.Print_Area" localSheetId="94">'July 2017'!$A$1:$E$38</definedName>
    <definedName name="_xlnm.Print_Area" localSheetId="20">'June 2011'!$A$1:$E$33</definedName>
    <definedName name="_xlnm.Print_Area" localSheetId="32">'June 2012'!$A$1:$E$38</definedName>
    <definedName name="_xlnm.Print_Area" localSheetId="44">'June 2013'!$A$1:$E$38</definedName>
    <definedName name="_xlnm.Print_Area" localSheetId="56">'June 2014'!$A$1:$E$38</definedName>
    <definedName name="_xlnm.Print_Area" localSheetId="69">'June 2015'!$A$1:$E$38</definedName>
    <definedName name="_xlnm.Print_Area" localSheetId="81">'June 2016'!$A$1:$E$38</definedName>
    <definedName name="_xlnm.Print_Area" localSheetId="93">'June 2017'!$A$1:$E$38</definedName>
    <definedName name="_xlnm.Print_Area" localSheetId="17">'Mar 2011'!$A$1:$E$33</definedName>
    <definedName name="_xlnm.Print_Area" localSheetId="29">'March 2012'!$A$1:$E$38</definedName>
    <definedName name="_xlnm.Print_Area" localSheetId="41">'March 2013'!$A$1:$E$38</definedName>
    <definedName name="_xlnm.Print_Area" localSheetId="53">'March 2014'!$A$1:$E$38</definedName>
    <definedName name="_xlnm.Print_Area" localSheetId="65">'March 2015'!$A$1:$E$38</definedName>
    <definedName name="_xlnm.Print_Area" localSheetId="78">'March 2016'!$A$1:$E$38</definedName>
    <definedName name="_xlnm.Print_Area" localSheetId="90">'March 2017'!$A$1:$E$38</definedName>
    <definedName name="_xlnm.Print_Area" localSheetId="19">'May 2011'!$A$1:$E$33</definedName>
    <definedName name="_xlnm.Print_Area" localSheetId="31">'May 2012'!$A$1:$E$38</definedName>
    <definedName name="_xlnm.Print_Area" localSheetId="43">'May 2013'!$A$1:$E$38</definedName>
    <definedName name="_xlnm.Print_Area" localSheetId="55">'May 2014'!$A$1:$E$38</definedName>
    <definedName name="_xlnm.Print_Area" localSheetId="67">'May 2015'!$A$1:$E$38</definedName>
    <definedName name="_xlnm.Print_Area" localSheetId="80">'May 2016'!$A$1:$E$38</definedName>
    <definedName name="_xlnm.Print_Area" localSheetId="92">'May 2017'!$A$1:$E$38</definedName>
    <definedName name="_xlnm.Print_Area" localSheetId="13">'Nov 2010'!$A$1:$E$33</definedName>
    <definedName name="_xlnm.Print_Area" localSheetId="25">'Nov 2011'!$A$1:$E$38</definedName>
    <definedName name="_xlnm.Print_Area" localSheetId="37">'Nov 2012'!$A$1:$E$38</definedName>
    <definedName name="_xlnm.Print_Area" localSheetId="49">'Nov 2013'!$A$1:$E$38</definedName>
    <definedName name="_xlnm.Print_Area" localSheetId="61">'Nov 2014'!$A$1:$E$38</definedName>
    <definedName name="_xlnm.Print_Area" localSheetId="74">'Nov 2015'!$A$1:$E$38</definedName>
    <definedName name="_xlnm.Print_Area" localSheetId="86">'Nov 2016'!$A$1:$E$38</definedName>
    <definedName name="_xlnm.Print_Area" localSheetId="36">'Oct  2012'!$A$1:$E$38</definedName>
    <definedName name="_xlnm.Print_Area" localSheetId="24">'Oct 2011  '!$A$1:$E$39</definedName>
    <definedName name="_xlnm.Print_Area" localSheetId="48">'Oct 2013 '!$A$1:$E$38</definedName>
    <definedName name="_xlnm.Print_Area" localSheetId="60">'Oct 2014'!$A$1:$E$38</definedName>
    <definedName name="_xlnm.Print_Area" localSheetId="73">'Oct 2015'!$A$1:$E$38</definedName>
    <definedName name="_xlnm.Print_Area" localSheetId="85">'Oct 2016'!$A$1:$E$38</definedName>
    <definedName name="_xlnm.Print_Area" localSheetId="97">'October 2017'!$A$1:$E$38</definedName>
    <definedName name="_xlnm.Print_Area" localSheetId="23">'Sept 2011 '!$A$1:$E$33</definedName>
    <definedName name="_xlnm.Print_Area" localSheetId="35">'Sept 2012 '!$A$1:$E$38</definedName>
    <definedName name="_xlnm.Print_Area" localSheetId="47">'Sept 2013'!$A$1:$E$38</definedName>
    <definedName name="_xlnm.Print_Area" localSheetId="59">'Sept 2014'!$A$1:$E$38</definedName>
    <definedName name="_xlnm.Print_Area" localSheetId="72">'Sept 2015'!$A$1:$E$38</definedName>
    <definedName name="_xlnm.Print_Area" localSheetId="84">'Sept 2016'!$A$1:$E$38</definedName>
    <definedName name="_xlnm.Print_Area" localSheetId="96">'September 2017'!$A$1:$E$38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05" l="1"/>
  <c r="D26" i="205"/>
  <c r="C25" i="205"/>
  <c r="D25" i="205"/>
  <c r="D27" i="205"/>
  <c r="B26" i="205"/>
  <c r="B25" i="205"/>
  <c r="D20" i="205"/>
  <c r="D19" i="205"/>
  <c r="D16" i="205"/>
  <c r="D15" i="205"/>
  <c r="D14" i="205"/>
  <c r="D11" i="205"/>
  <c r="D10" i="205"/>
  <c r="D9" i="205"/>
  <c r="D5" i="205"/>
  <c r="D4" i="205"/>
  <c r="D3" i="205"/>
  <c r="D36" i="108"/>
  <c r="D30" i="108"/>
  <c r="D10" i="202"/>
  <c r="D8" i="202"/>
  <c r="D7" i="202"/>
  <c r="B8" i="202"/>
  <c r="C8" i="202"/>
  <c r="C7" i="202"/>
  <c r="B7" i="202"/>
  <c r="D44" i="202"/>
  <c r="D43" i="202"/>
  <c r="D37" i="202"/>
  <c r="D36" i="202"/>
  <c r="D30" i="202"/>
  <c r="D29" i="202"/>
  <c r="D22" i="202"/>
  <c r="D21" i="202"/>
  <c r="D24" i="202" s="1"/>
  <c r="D15" i="202"/>
  <c r="D14" i="202"/>
  <c r="D12" i="201"/>
  <c r="D11" i="201"/>
  <c r="C11" i="201"/>
  <c r="C4" i="201"/>
  <c r="C3" i="201"/>
  <c r="C29" i="201" s="1"/>
  <c r="D29" i="201" s="1"/>
  <c r="C20" i="201"/>
  <c r="D20" i="201" s="1"/>
  <c r="C12" i="201"/>
  <c r="C19" i="201"/>
  <c r="D19" i="201"/>
  <c r="D3" i="201"/>
  <c r="B30" i="201"/>
  <c r="B29" i="201"/>
  <c r="D14" i="108"/>
  <c r="C44" i="108"/>
  <c r="C43" i="108"/>
  <c r="C37" i="108"/>
  <c r="C36" i="108"/>
  <c r="C30" i="108"/>
  <c r="C29" i="108"/>
  <c r="C22" i="108"/>
  <c r="C21" i="108"/>
  <c r="C15" i="108"/>
  <c r="C14" i="108"/>
  <c r="B44" i="108"/>
  <c r="D44" i="108" s="1"/>
  <c r="B43" i="108"/>
  <c r="D43" i="108" s="1"/>
  <c r="B37" i="108"/>
  <c r="B36" i="108"/>
  <c r="B30" i="108"/>
  <c r="B29" i="108"/>
  <c r="B22" i="108"/>
  <c r="B21" i="108"/>
  <c r="D21" i="108" s="1"/>
  <c r="B14" i="108"/>
  <c r="B15" i="108"/>
  <c r="C8" i="150"/>
  <c r="B8" i="150"/>
  <c r="C7" i="150"/>
  <c r="B7" i="150"/>
  <c r="B2" i="108"/>
  <c r="A13" i="108" s="1"/>
  <c r="B6" i="155"/>
  <c r="A13" i="150"/>
  <c r="A20" i="150" s="1"/>
  <c r="A27" i="150" s="1"/>
  <c r="A35" i="150" s="1"/>
  <c r="A42" i="150" s="1"/>
  <c r="B35" i="184"/>
  <c r="C35" i="184" s="1"/>
  <c r="B34" i="184"/>
  <c r="C34" i="184" s="1"/>
  <c r="B28" i="184"/>
  <c r="C28" i="184" s="1"/>
  <c r="B27" i="184"/>
  <c r="C27" i="184" s="1"/>
  <c r="B21" i="184"/>
  <c r="C21" i="184" s="1"/>
  <c r="B20" i="184"/>
  <c r="C20" i="184" s="1"/>
  <c r="B13" i="184"/>
  <c r="C13" i="184" s="1"/>
  <c r="B12" i="184"/>
  <c r="C12" i="184" s="1"/>
  <c r="D12" i="184" s="1"/>
  <c r="B5" i="184"/>
  <c r="C5" i="184" s="1"/>
  <c r="B2" i="184"/>
  <c r="A4" i="184" s="1"/>
  <c r="A11" i="184" s="1"/>
  <c r="A19" i="184" s="1"/>
  <c r="A26" i="184" s="1"/>
  <c r="B35" i="185"/>
  <c r="C35" i="185" s="1"/>
  <c r="B34" i="185"/>
  <c r="C34" i="185" s="1"/>
  <c r="D34" i="185" s="1"/>
  <c r="B28" i="185"/>
  <c r="C28" i="185" s="1"/>
  <c r="D28" i="185" s="1"/>
  <c r="B27" i="185"/>
  <c r="C27" i="185" s="1"/>
  <c r="B21" i="185"/>
  <c r="C21" i="185" s="1"/>
  <c r="B20" i="185"/>
  <c r="C20" i="185" s="1"/>
  <c r="B13" i="185"/>
  <c r="B12" i="185"/>
  <c r="C12" i="185" s="1"/>
  <c r="D12" i="185" s="1"/>
  <c r="B5" i="185"/>
  <c r="C5" i="185" s="1"/>
  <c r="D5" i="185" s="1"/>
  <c r="B2" i="185"/>
  <c r="A4" i="185" s="1"/>
  <c r="A11" i="185" s="1"/>
  <c r="A19" i="185" s="1"/>
  <c r="A26" i="185" s="1"/>
  <c r="A33" i="185" s="1"/>
  <c r="B2" i="162"/>
  <c r="A4" i="162" s="1"/>
  <c r="A12" i="162" s="1"/>
  <c r="A21" i="162" s="1"/>
  <c r="A29" i="162" s="1"/>
  <c r="A37" i="162" s="1"/>
  <c r="B5" i="162"/>
  <c r="C5" i="162" s="1"/>
  <c r="B7" i="162"/>
  <c r="C7" i="162" s="1"/>
  <c r="B13" i="162"/>
  <c r="C13" i="162" s="1"/>
  <c r="B14" i="162"/>
  <c r="C14" i="162" s="1"/>
  <c r="D14" i="162" s="1"/>
  <c r="B15" i="162"/>
  <c r="C15" i="162" s="1"/>
  <c r="B22" i="162"/>
  <c r="C22" i="162" s="1"/>
  <c r="B23" i="162"/>
  <c r="C23" i="162" s="1"/>
  <c r="B24" i="162"/>
  <c r="D24" i="162" s="1"/>
  <c r="B30" i="162"/>
  <c r="C30" i="162" s="1"/>
  <c r="B31" i="162"/>
  <c r="C31" i="162" s="1"/>
  <c r="D31" i="162" s="1"/>
  <c r="B32" i="162"/>
  <c r="C32" i="162" s="1"/>
  <c r="B38" i="162"/>
  <c r="B39" i="162"/>
  <c r="C39" i="162" s="1"/>
  <c r="D39" i="162" s="1"/>
  <c r="B40" i="162"/>
  <c r="C40" i="162" s="1"/>
  <c r="B2" i="155"/>
  <c r="B5" i="155"/>
  <c r="C5" i="155" s="1"/>
  <c r="D5" i="155" s="1"/>
  <c r="B7" i="155"/>
  <c r="C7" i="155" s="1"/>
  <c r="B13" i="155"/>
  <c r="C13" i="155" s="1"/>
  <c r="B14" i="155"/>
  <c r="C14" i="155" s="1"/>
  <c r="D14" i="155" s="1"/>
  <c r="B15" i="155"/>
  <c r="C15" i="155" s="1"/>
  <c r="B22" i="155"/>
  <c r="C22" i="155" s="1"/>
  <c r="B23" i="155"/>
  <c r="C23" i="155" s="1"/>
  <c r="D23" i="155" s="1"/>
  <c r="B24" i="155"/>
  <c r="C24" i="155" s="1"/>
  <c r="B30" i="155"/>
  <c r="C30" i="155" s="1"/>
  <c r="B31" i="155"/>
  <c r="C31" i="155" s="1"/>
  <c r="D31" i="155" s="1"/>
  <c r="B32" i="155"/>
  <c r="C32" i="155" s="1"/>
  <c r="B38" i="155"/>
  <c r="C38" i="155" s="1"/>
  <c r="B39" i="155"/>
  <c r="C39" i="155" s="1"/>
  <c r="B40" i="155"/>
  <c r="C40" i="155" s="1"/>
  <c r="B2" i="154"/>
  <c r="A4" i="154" s="1"/>
  <c r="A12" i="154" s="1"/>
  <c r="A21" i="154" s="1"/>
  <c r="A29" i="154" s="1"/>
  <c r="A37" i="154" s="1"/>
  <c r="B5" i="154"/>
  <c r="C5" i="154" s="1"/>
  <c r="B7" i="154"/>
  <c r="C7" i="154" s="1"/>
  <c r="B13" i="154"/>
  <c r="C13" i="154" s="1"/>
  <c r="B14" i="154"/>
  <c r="C14" i="154" s="1"/>
  <c r="D14" i="154" s="1"/>
  <c r="B15" i="154"/>
  <c r="C15" i="154" s="1"/>
  <c r="B22" i="154"/>
  <c r="C22" i="154" s="1"/>
  <c r="B23" i="154"/>
  <c r="C23" i="154" s="1"/>
  <c r="B24" i="154"/>
  <c r="C24" i="154" s="1"/>
  <c r="B30" i="154"/>
  <c r="C30" i="154" s="1"/>
  <c r="B31" i="154"/>
  <c r="C31" i="154" s="1"/>
  <c r="B32" i="154"/>
  <c r="C32" i="154" s="1"/>
  <c r="B38" i="154"/>
  <c r="C38" i="154" s="1"/>
  <c r="D38" i="154" s="1"/>
  <c r="B39" i="154"/>
  <c r="C39" i="154" s="1"/>
  <c r="D39" i="154" s="1"/>
  <c r="B40" i="154"/>
  <c r="D40" i="154" s="1"/>
  <c r="A4" i="149"/>
  <c r="D9" i="149"/>
  <c r="A12" i="149"/>
  <c r="D17" i="149"/>
  <c r="A21" i="149"/>
  <c r="C24" i="149"/>
  <c r="D26" i="149"/>
  <c r="A29" i="149"/>
  <c r="D34" i="149"/>
  <c r="C38" i="149"/>
  <c r="C39" i="149"/>
  <c r="C40" i="149"/>
  <c r="D42" i="149"/>
  <c r="D44" i="149"/>
  <c r="A4" i="148"/>
  <c r="C6" i="148"/>
  <c r="C7" i="148"/>
  <c r="D9" i="148"/>
  <c r="A12" i="148"/>
  <c r="C13" i="148"/>
  <c r="C14" i="148"/>
  <c r="C15" i="148"/>
  <c r="D17" i="148"/>
  <c r="A21" i="148"/>
  <c r="C22" i="148"/>
  <c r="C23" i="148"/>
  <c r="C24" i="148"/>
  <c r="D26" i="148"/>
  <c r="A29" i="148"/>
  <c r="C30" i="148"/>
  <c r="C31" i="148"/>
  <c r="C32" i="148"/>
  <c r="D34" i="148"/>
  <c r="C38" i="148"/>
  <c r="C39" i="148"/>
  <c r="C40" i="148"/>
  <c r="D42" i="148"/>
  <c r="D44" i="148"/>
  <c r="A4" i="147"/>
  <c r="D9" i="147"/>
  <c r="A12" i="147"/>
  <c r="D17" i="147"/>
  <c r="A21" i="147"/>
  <c r="D26" i="147"/>
  <c r="A29" i="147"/>
  <c r="D34" i="147"/>
  <c r="A37" i="147"/>
  <c r="D42" i="147"/>
  <c r="D44" i="147"/>
  <c r="A4" i="146"/>
  <c r="C5" i="146"/>
  <c r="C6" i="146"/>
  <c r="C7" i="146"/>
  <c r="D9" i="146"/>
  <c r="A12" i="146"/>
  <c r="C14" i="146"/>
  <c r="C15" i="146"/>
  <c r="D17" i="146"/>
  <c r="A21" i="146"/>
  <c r="C22" i="146"/>
  <c r="C23" i="146"/>
  <c r="C24" i="146"/>
  <c r="D26" i="146"/>
  <c r="A29" i="146"/>
  <c r="C31" i="146"/>
  <c r="C32" i="146"/>
  <c r="D34" i="146"/>
  <c r="C38" i="146"/>
  <c r="C39" i="146"/>
  <c r="C40" i="146"/>
  <c r="D42" i="146"/>
  <c r="A4" i="145"/>
  <c r="C5" i="145"/>
  <c r="C6" i="145"/>
  <c r="C7" i="145"/>
  <c r="D9" i="145"/>
  <c r="A12" i="145"/>
  <c r="C13" i="145"/>
  <c r="C14" i="145"/>
  <c r="C15" i="145"/>
  <c r="D17" i="145"/>
  <c r="A21" i="145"/>
  <c r="C22" i="145"/>
  <c r="C23" i="145"/>
  <c r="C24" i="145"/>
  <c r="D26" i="145"/>
  <c r="A29" i="145"/>
  <c r="C30" i="145"/>
  <c r="C31" i="145"/>
  <c r="C32" i="145"/>
  <c r="D34" i="145"/>
  <c r="C38" i="145"/>
  <c r="C39" i="145"/>
  <c r="C40" i="145"/>
  <c r="D42" i="145"/>
  <c r="A4" i="144"/>
  <c r="C6" i="144"/>
  <c r="C7" i="144"/>
  <c r="D9" i="144"/>
  <c r="A12" i="144"/>
  <c r="C14" i="144"/>
  <c r="C15" i="144"/>
  <c r="D17" i="144"/>
  <c r="A21" i="144"/>
  <c r="C23" i="144"/>
  <c r="C24" i="144"/>
  <c r="D26" i="144"/>
  <c r="A29" i="144"/>
  <c r="C31" i="144"/>
  <c r="C32" i="144"/>
  <c r="D34" i="144"/>
  <c r="A37" i="144"/>
  <c r="C39" i="144"/>
  <c r="C40" i="144"/>
  <c r="D42" i="144"/>
  <c r="D44" i="144"/>
  <c r="A4" i="143"/>
  <c r="C5" i="143"/>
  <c r="C6" i="143"/>
  <c r="C7" i="143"/>
  <c r="D9" i="143"/>
  <c r="A12" i="143"/>
  <c r="C14" i="143"/>
  <c r="C15" i="143"/>
  <c r="D17" i="143"/>
  <c r="A21" i="143"/>
  <c r="C23" i="143"/>
  <c r="C24" i="143"/>
  <c r="D26" i="143"/>
  <c r="A29" i="143"/>
  <c r="C31" i="143"/>
  <c r="C32" i="143"/>
  <c r="D34" i="143"/>
  <c r="C38" i="143"/>
  <c r="C39" i="143"/>
  <c r="C40" i="143"/>
  <c r="D42" i="143"/>
  <c r="D44" i="143"/>
  <c r="A4" i="142"/>
  <c r="C5" i="142"/>
  <c r="C6" i="142"/>
  <c r="C7" i="142"/>
  <c r="D9" i="142"/>
  <c r="A12" i="142"/>
  <c r="C13" i="142"/>
  <c r="C14" i="142"/>
  <c r="C15" i="142"/>
  <c r="D17" i="142"/>
  <c r="A21" i="142"/>
  <c r="C22" i="142"/>
  <c r="C23" i="142"/>
  <c r="C24" i="142"/>
  <c r="D26" i="142"/>
  <c r="A29" i="142"/>
  <c r="C30" i="142"/>
  <c r="C31" i="142"/>
  <c r="C32" i="142"/>
  <c r="D34" i="142"/>
  <c r="A37" i="142"/>
  <c r="C38" i="142"/>
  <c r="C39" i="142"/>
  <c r="C40" i="142"/>
  <c r="D42" i="142"/>
  <c r="D44" i="142"/>
  <c r="A4" i="141"/>
  <c r="C5" i="141"/>
  <c r="C6" i="141"/>
  <c r="C7" i="141"/>
  <c r="D9" i="141"/>
  <c r="A12" i="141"/>
  <c r="C13" i="141"/>
  <c r="C14" i="141"/>
  <c r="C15" i="141"/>
  <c r="D17" i="141"/>
  <c r="A21" i="141"/>
  <c r="C22" i="141"/>
  <c r="C23" i="141"/>
  <c r="C24" i="141"/>
  <c r="D26" i="141"/>
  <c r="A29" i="141"/>
  <c r="C30" i="141"/>
  <c r="C31" i="141"/>
  <c r="C32" i="141"/>
  <c r="D34" i="141"/>
  <c r="C38" i="141"/>
  <c r="C39" i="141"/>
  <c r="C40" i="141"/>
  <c r="D42" i="141"/>
  <c r="D44" i="141"/>
  <c r="A4" i="140"/>
  <c r="C5" i="140"/>
  <c r="C6" i="140"/>
  <c r="C7" i="140"/>
  <c r="D9" i="140"/>
  <c r="A12" i="140"/>
  <c r="C13" i="140"/>
  <c r="C14" i="140"/>
  <c r="C15" i="140"/>
  <c r="D17" i="140"/>
  <c r="A21" i="140"/>
  <c r="C22" i="140"/>
  <c r="C23" i="140"/>
  <c r="C24" i="140"/>
  <c r="D26" i="140"/>
  <c r="A29" i="140"/>
  <c r="C30" i="140"/>
  <c r="C31" i="140"/>
  <c r="C32" i="140"/>
  <c r="D34" i="140"/>
  <c r="C38" i="140"/>
  <c r="C39" i="140"/>
  <c r="C40" i="140"/>
  <c r="D42" i="140"/>
  <c r="D44" i="140"/>
  <c r="A4" i="139"/>
  <c r="C5" i="139"/>
  <c r="C6" i="139"/>
  <c r="C7" i="139"/>
  <c r="D9" i="139"/>
  <c r="A12" i="139"/>
  <c r="C13" i="139"/>
  <c r="C14" i="139"/>
  <c r="C15" i="139"/>
  <c r="D17" i="139"/>
  <c r="A21" i="139"/>
  <c r="C22" i="139"/>
  <c r="C23" i="139"/>
  <c r="C24" i="139"/>
  <c r="D26" i="139"/>
  <c r="A29" i="139"/>
  <c r="C30" i="139"/>
  <c r="C31" i="139"/>
  <c r="C32" i="139"/>
  <c r="D34" i="139"/>
  <c r="C38" i="139"/>
  <c r="C39" i="139"/>
  <c r="C40" i="139"/>
  <c r="D42" i="139"/>
  <c r="D44" i="139"/>
  <c r="A4" i="138"/>
  <c r="C5" i="138"/>
  <c r="C6" i="138"/>
  <c r="C7" i="138"/>
  <c r="D9" i="138"/>
  <c r="A12" i="138"/>
  <c r="C13" i="138"/>
  <c r="C14" i="138"/>
  <c r="C15" i="138"/>
  <c r="D17" i="138"/>
  <c r="A21" i="138"/>
  <c r="C22" i="138"/>
  <c r="C23" i="138"/>
  <c r="C24" i="138"/>
  <c r="D26" i="138"/>
  <c r="A29" i="138"/>
  <c r="C30" i="138"/>
  <c r="C31" i="138"/>
  <c r="C32" i="138"/>
  <c r="D34" i="138"/>
  <c r="A37" i="138"/>
  <c r="C38" i="138"/>
  <c r="C39" i="138"/>
  <c r="C40" i="138"/>
  <c r="D42" i="138"/>
  <c r="D44" i="138"/>
  <c r="A4" i="135"/>
  <c r="C5" i="135"/>
  <c r="C6" i="135"/>
  <c r="C7" i="135"/>
  <c r="D9" i="135"/>
  <c r="A12" i="135"/>
  <c r="C13" i="135"/>
  <c r="C14" i="135"/>
  <c r="C15" i="135"/>
  <c r="D17" i="135"/>
  <c r="A21" i="135"/>
  <c r="C22" i="135"/>
  <c r="C23" i="135"/>
  <c r="C24" i="135"/>
  <c r="D26" i="135"/>
  <c r="A29" i="135"/>
  <c r="C30" i="135"/>
  <c r="C31" i="135"/>
  <c r="C32" i="135"/>
  <c r="D34" i="135"/>
  <c r="C38" i="135"/>
  <c r="C39" i="135"/>
  <c r="C40" i="135"/>
  <c r="D42" i="135"/>
  <c r="D44" i="135"/>
  <c r="A4" i="136"/>
  <c r="C5" i="136"/>
  <c r="C6" i="136"/>
  <c r="C7" i="136"/>
  <c r="D9" i="136"/>
  <c r="A12" i="136"/>
  <c r="C13" i="136"/>
  <c r="C14" i="136"/>
  <c r="C15" i="136"/>
  <c r="D17" i="136"/>
  <c r="A21" i="136"/>
  <c r="C22" i="136"/>
  <c r="C23" i="136"/>
  <c r="C24" i="136"/>
  <c r="D26" i="136"/>
  <c r="A29" i="136"/>
  <c r="C30" i="136"/>
  <c r="C31" i="136"/>
  <c r="C32" i="136"/>
  <c r="D34" i="136"/>
  <c r="A37" i="136"/>
  <c r="C38" i="136"/>
  <c r="C39" i="136"/>
  <c r="C40" i="136"/>
  <c r="D42" i="136"/>
  <c r="D44" i="136"/>
  <c r="A4" i="137"/>
  <c r="C5" i="137"/>
  <c r="C6" i="137"/>
  <c r="C7" i="137"/>
  <c r="D9" i="137"/>
  <c r="A12" i="137"/>
  <c r="C13" i="137"/>
  <c r="C14" i="137"/>
  <c r="C15" i="137"/>
  <c r="D17" i="137"/>
  <c r="A21" i="137"/>
  <c r="C22" i="137"/>
  <c r="C23" i="137"/>
  <c r="C24" i="137"/>
  <c r="D26" i="137"/>
  <c r="A29" i="137"/>
  <c r="C30" i="137"/>
  <c r="C31" i="137"/>
  <c r="C32" i="137"/>
  <c r="D34" i="137"/>
  <c r="A37" i="137"/>
  <c r="C38" i="137"/>
  <c r="C39" i="137"/>
  <c r="C40" i="137"/>
  <c r="D42" i="137"/>
  <c r="D44" i="137"/>
  <c r="A4" i="134"/>
  <c r="C5" i="134"/>
  <c r="C6" i="134"/>
  <c r="C7" i="134"/>
  <c r="D9" i="134"/>
  <c r="A12" i="134"/>
  <c r="C13" i="134"/>
  <c r="C14" i="134"/>
  <c r="C15" i="134"/>
  <c r="D17" i="134"/>
  <c r="A21" i="134"/>
  <c r="C22" i="134"/>
  <c r="C23" i="134"/>
  <c r="C24" i="134"/>
  <c r="D26" i="134"/>
  <c r="A29" i="134"/>
  <c r="C30" i="134"/>
  <c r="C31" i="134"/>
  <c r="C32" i="134"/>
  <c r="D34" i="134"/>
  <c r="A37" i="134"/>
  <c r="C38" i="134"/>
  <c r="C39" i="134"/>
  <c r="C40" i="134"/>
  <c r="D42" i="134"/>
  <c r="D44" i="134"/>
  <c r="A4" i="133"/>
  <c r="C5" i="133"/>
  <c r="C6" i="133"/>
  <c r="C7" i="133"/>
  <c r="D9" i="133"/>
  <c r="A12" i="133"/>
  <c r="C13" i="133"/>
  <c r="C14" i="133"/>
  <c r="C15" i="133"/>
  <c r="D17" i="133"/>
  <c r="A21" i="133"/>
  <c r="C22" i="133"/>
  <c r="C23" i="133"/>
  <c r="C24" i="133"/>
  <c r="D26" i="133"/>
  <c r="A29" i="133"/>
  <c r="C30" i="133"/>
  <c r="C31" i="133"/>
  <c r="C32" i="133"/>
  <c r="D34" i="133"/>
  <c r="A37" i="133"/>
  <c r="C38" i="133"/>
  <c r="C39" i="133"/>
  <c r="C40" i="133"/>
  <c r="D42" i="133"/>
  <c r="D44" i="133"/>
  <c r="A4" i="132"/>
  <c r="C5" i="132"/>
  <c r="C6" i="132"/>
  <c r="C7" i="132"/>
  <c r="D9" i="132"/>
  <c r="A12" i="132"/>
  <c r="C13" i="132"/>
  <c r="C14" i="132"/>
  <c r="C15" i="132"/>
  <c r="D17" i="132"/>
  <c r="A21" i="132"/>
  <c r="C22" i="132"/>
  <c r="C23" i="132"/>
  <c r="C24" i="132"/>
  <c r="D26" i="132"/>
  <c r="A29" i="132"/>
  <c r="C30" i="132"/>
  <c r="C31" i="132"/>
  <c r="C32" i="132"/>
  <c r="D34" i="132"/>
  <c r="A37" i="132"/>
  <c r="C38" i="132"/>
  <c r="C39" i="132"/>
  <c r="C40" i="132"/>
  <c r="D42" i="132"/>
  <c r="D44" i="132"/>
  <c r="A4" i="131"/>
  <c r="C5" i="131"/>
  <c r="C6" i="131"/>
  <c r="C7" i="131"/>
  <c r="D9" i="131"/>
  <c r="A12" i="131"/>
  <c r="C13" i="131"/>
  <c r="C14" i="131"/>
  <c r="C15" i="131"/>
  <c r="D17" i="131"/>
  <c r="A21" i="131"/>
  <c r="C22" i="131"/>
  <c r="C23" i="131"/>
  <c r="C24" i="131"/>
  <c r="D26" i="131"/>
  <c r="A29" i="131"/>
  <c r="C30" i="131"/>
  <c r="C31" i="131"/>
  <c r="C32" i="131"/>
  <c r="D34" i="131"/>
  <c r="A37" i="131"/>
  <c r="C38" i="131"/>
  <c r="C39" i="131"/>
  <c r="C40" i="131"/>
  <c r="D42" i="131"/>
  <c r="D44" i="131"/>
  <c r="A4" i="130"/>
  <c r="C5" i="130"/>
  <c r="C6" i="130"/>
  <c r="C7" i="130"/>
  <c r="D9" i="130"/>
  <c r="A12" i="130"/>
  <c r="C13" i="130"/>
  <c r="C14" i="130"/>
  <c r="C15" i="130"/>
  <c r="D17" i="130"/>
  <c r="A21" i="130"/>
  <c r="C22" i="130"/>
  <c r="C23" i="130"/>
  <c r="C24" i="130"/>
  <c r="D26" i="130"/>
  <c r="A29" i="130"/>
  <c r="C30" i="130"/>
  <c r="C31" i="130"/>
  <c r="C32" i="130"/>
  <c r="D34" i="130"/>
  <c r="A37" i="130"/>
  <c r="C38" i="130"/>
  <c r="C39" i="130"/>
  <c r="C40" i="130"/>
  <c r="D42" i="130"/>
  <c r="D44" i="130"/>
  <c r="A4" i="129"/>
  <c r="C5" i="129"/>
  <c r="C6" i="129"/>
  <c r="C7" i="129"/>
  <c r="D9" i="129"/>
  <c r="A12" i="129"/>
  <c r="C13" i="129"/>
  <c r="C14" i="129"/>
  <c r="C15" i="129"/>
  <c r="D17" i="129"/>
  <c r="A21" i="129"/>
  <c r="C22" i="129"/>
  <c r="C23" i="129"/>
  <c r="C24" i="129"/>
  <c r="D26" i="129"/>
  <c r="A29" i="129"/>
  <c r="C30" i="129"/>
  <c r="C31" i="129"/>
  <c r="C32" i="129"/>
  <c r="D34" i="129"/>
  <c r="C38" i="129"/>
  <c r="C39" i="129"/>
  <c r="C40" i="129"/>
  <c r="D42" i="129"/>
  <c r="D44" i="129"/>
  <c r="A4" i="128"/>
  <c r="C5" i="128"/>
  <c r="C6" i="128"/>
  <c r="C7" i="128"/>
  <c r="D9" i="128"/>
  <c r="A12" i="128"/>
  <c r="C13" i="128"/>
  <c r="C14" i="128"/>
  <c r="C15" i="128"/>
  <c r="D17" i="128"/>
  <c r="A21" i="128"/>
  <c r="C22" i="128"/>
  <c r="C23" i="128"/>
  <c r="C24" i="128"/>
  <c r="D26" i="128"/>
  <c r="A29" i="128"/>
  <c r="C30" i="128"/>
  <c r="C31" i="128"/>
  <c r="C32" i="128"/>
  <c r="D34" i="128"/>
  <c r="C38" i="128"/>
  <c r="C39" i="128"/>
  <c r="C40" i="128"/>
  <c r="D42" i="128"/>
  <c r="D44" i="128"/>
  <c r="A4" i="127"/>
  <c r="C5" i="127"/>
  <c r="C6" i="127"/>
  <c r="D8" i="127"/>
  <c r="A12" i="127"/>
  <c r="C13" i="127"/>
  <c r="C14" i="127"/>
  <c r="C15" i="127"/>
  <c r="D17" i="127"/>
  <c r="A21" i="127"/>
  <c r="C22" i="127"/>
  <c r="C23" i="127"/>
  <c r="C24" i="127"/>
  <c r="D26" i="127"/>
  <c r="A29" i="127"/>
  <c r="C30" i="127"/>
  <c r="C31" i="127"/>
  <c r="C32" i="127"/>
  <c r="D34" i="127"/>
  <c r="A37" i="127"/>
  <c r="C38" i="127"/>
  <c r="C39" i="127"/>
  <c r="C40" i="127"/>
  <c r="D42" i="127"/>
  <c r="D44" i="127"/>
  <c r="A4" i="126"/>
  <c r="C5" i="126"/>
  <c r="C6" i="126"/>
  <c r="D8" i="126"/>
  <c r="A12" i="126"/>
  <c r="C13" i="126"/>
  <c r="C14" i="126"/>
  <c r="D16" i="126"/>
  <c r="A20" i="126"/>
  <c r="C21" i="126"/>
  <c r="C22" i="126"/>
  <c r="D24" i="126"/>
  <c r="A27" i="126"/>
  <c r="C28" i="126"/>
  <c r="C29" i="126"/>
  <c r="D31" i="126"/>
  <c r="C34" i="126"/>
  <c r="C35" i="126"/>
  <c r="D37" i="126"/>
  <c r="D39" i="126"/>
  <c r="A4" i="125"/>
  <c r="C5" i="125"/>
  <c r="C6" i="125"/>
  <c r="D8" i="125"/>
  <c r="A12" i="125"/>
  <c r="C13" i="125"/>
  <c r="C14" i="125"/>
  <c r="D16" i="125"/>
  <c r="A20" i="125"/>
  <c r="C21" i="125"/>
  <c r="C22" i="125"/>
  <c r="D24" i="125"/>
  <c r="A27" i="125"/>
  <c r="C28" i="125"/>
  <c r="C29" i="125"/>
  <c r="D31" i="125"/>
  <c r="A33" i="125"/>
  <c r="C34" i="125"/>
  <c r="C35" i="125"/>
  <c r="D37" i="125"/>
  <c r="D39" i="125"/>
  <c r="A4" i="124"/>
  <c r="C5" i="124"/>
  <c r="C6" i="124"/>
  <c r="D8" i="124"/>
  <c r="A12" i="124"/>
  <c r="C13" i="124"/>
  <c r="C14" i="124"/>
  <c r="D16" i="124"/>
  <c r="A20" i="124"/>
  <c r="C21" i="124"/>
  <c r="C22" i="124"/>
  <c r="D24" i="124"/>
  <c r="A27" i="124"/>
  <c r="C28" i="124"/>
  <c r="C29" i="124"/>
  <c r="D31" i="124"/>
  <c r="A33" i="124"/>
  <c r="C34" i="124"/>
  <c r="C35" i="124"/>
  <c r="D37" i="124"/>
  <c r="D39" i="124"/>
  <c r="A4" i="123"/>
  <c r="C5" i="123"/>
  <c r="C6" i="123"/>
  <c r="D8" i="123"/>
  <c r="A12" i="123"/>
  <c r="C13" i="123"/>
  <c r="C14" i="123"/>
  <c r="D16" i="123"/>
  <c r="A20" i="123"/>
  <c r="C21" i="123"/>
  <c r="C22" i="123"/>
  <c r="D24" i="123"/>
  <c r="A27" i="123"/>
  <c r="C28" i="123"/>
  <c r="C29" i="123"/>
  <c r="D31" i="123"/>
  <c r="A33" i="123"/>
  <c r="C34" i="123"/>
  <c r="C35" i="123"/>
  <c r="D37" i="123"/>
  <c r="D39" i="123"/>
  <c r="A4" i="121"/>
  <c r="C5" i="121"/>
  <c r="C6" i="121"/>
  <c r="D8" i="121"/>
  <c r="A12" i="121"/>
  <c r="C13" i="121"/>
  <c r="C14" i="121"/>
  <c r="D16" i="121"/>
  <c r="A20" i="121"/>
  <c r="C21" i="121"/>
  <c r="C22" i="121"/>
  <c r="D24" i="121"/>
  <c r="A27" i="121"/>
  <c r="C28" i="121"/>
  <c r="C29" i="121"/>
  <c r="D31" i="121"/>
  <c r="A33" i="121"/>
  <c r="C34" i="121"/>
  <c r="C35" i="121"/>
  <c r="D37" i="121"/>
  <c r="D39" i="121"/>
  <c r="A4" i="122"/>
  <c r="C5" i="122"/>
  <c r="C6" i="122"/>
  <c r="D8" i="122"/>
  <c r="A12" i="122"/>
  <c r="C13" i="122"/>
  <c r="C14" i="122"/>
  <c r="D16" i="122"/>
  <c r="A20" i="122"/>
  <c r="C21" i="122"/>
  <c r="C22" i="122"/>
  <c r="D24" i="122"/>
  <c r="A27" i="122"/>
  <c r="C28" i="122"/>
  <c r="C29" i="122"/>
  <c r="D31" i="122"/>
  <c r="C34" i="122"/>
  <c r="C35" i="122"/>
  <c r="D37" i="122"/>
  <c r="D39" i="122"/>
  <c r="A4" i="120"/>
  <c r="C5" i="120"/>
  <c r="C6" i="120"/>
  <c r="D8" i="120"/>
  <c r="A12" i="120"/>
  <c r="C13" i="120"/>
  <c r="C14" i="120"/>
  <c r="D16" i="120"/>
  <c r="A20" i="120"/>
  <c r="C21" i="120"/>
  <c r="C22" i="120"/>
  <c r="D24" i="120"/>
  <c r="C28" i="120"/>
  <c r="C29" i="120"/>
  <c r="D31" i="120"/>
  <c r="C34" i="120"/>
  <c r="C35" i="120"/>
  <c r="D37" i="120"/>
  <c r="D39" i="120"/>
  <c r="A4" i="119"/>
  <c r="C5" i="119"/>
  <c r="C6" i="119"/>
  <c r="D8" i="119"/>
  <c r="A12" i="119"/>
  <c r="C13" i="119"/>
  <c r="C14" i="119"/>
  <c r="D16" i="119"/>
  <c r="A20" i="119"/>
  <c r="C21" i="119"/>
  <c r="C22" i="119"/>
  <c r="D24" i="119"/>
  <c r="A27" i="119"/>
  <c r="C28" i="119"/>
  <c r="C29" i="119"/>
  <c r="D31" i="119"/>
  <c r="A33" i="119"/>
  <c r="C34" i="119"/>
  <c r="C35" i="119"/>
  <c r="D37" i="119"/>
  <c r="D39" i="119"/>
  <c r="A4" i="118"/>
  <c r="C5" i="118"/>
  <c r="C6" i="118"/>
  <c r="D8" i="118"/>
  <c r="A12" i="118"/>
  <c r="C13" i="118"/>
  <c r="C14" i="118"/>
  <c r="D16" i="118"/>
  <c r="A20" i="118"/>
  <c r="C21" i="118"/>
  <c r="C22" i="118"/>
  <c r="D24" i="118"/>
  <c r="A27" i="118"/>
  <c r="C28" i="118"/>
  <c r="C29" i="118"/>
  <c r="D31" i="118"/>
  <c r="C34" i="118"/>
  <c r="C35" i="118"/>
  <c r="D37" i="118"/>
  <c r="D39" i="118"/>
  <c r="A4" i="117"/>
  <c r="C5" i="117"/>
  <c r="C6" i="117"/>
  <c r="D8" i="117"/>
  <c r="A12" i="117"/>
  <c r="C13" i="117"/>
  <c r="C14" i="117"/>
  <c r="D16" i="117"/>
  <c r="A20" i="117"/>
  <c r="C21" i="117"/>
  <c r="C22" i="117"/>
  <c r="D24" i="117"/>
  <c r="A27" i="117"/>
  <c r="C28" i="117"/>
  <c r="C29" i="117"/>
  <c r="D31" i="117"/>
  <c r="C34" i="117"/>
  <c r="C35" i="117"/>
  <c r="D37" i="117"/>
  <c r="D39" i="117"/>
  <c r="A4" i="116"/>
  <c r="C5" i="116"/>
  <c r="C6" i="116"/>
  <c r="D8" i="116"/>
  <c r="A12" i="116"/>
  <c r="C13" i="116"/>
  <c r="C14" i="116"/>
  <c r="D16" i="116"/>
  <c r="A20" i="116"/>
  <c r="C21" i="116"/>
  <c r="C22" i="116"/>
  <c r="D24" i="116"/>
  <c r="A27" i="116"/>
  <c r="C28" i="116"/>
  <c r="C29" i="116"/>
  <c r="D31" i="116"/>
  <c r="A33" i="116"/>
  <c r="C34" i="116"/>
  <c r="C35" i="116"/>
  <c r="D37" i="116"/>
  <c r="D39" i="116"/>
  <c r="A4" i="115"/>
  <c r="C5" i="115"/>
  <c r="C6" i="115"/>
  <c r="D8" i="115"/>
  <c r="A12" i="115"/>
  <c r="C13" i="115"/>
  <c r="C14" i="115"/>
  <c r="D16" i="115"/>
  <c r="A20" i="115"/>
  <c r="C21" i="115"/>
  <c r="C22" i="115"/>
  <c r="D24" i="115"/>
  <c r="A27" i="115"/>
  <c r="C28" i="115"/>
  <c r="C29" i="115"/>
  <c r="D31" i="115"/>
  <c r="A33" i="115"/>
  <c r="C34" i="115"/>
  <c r="C35" i="115"/>
  <c r="D37" i="115"/>
  <c r="D39" i="115"/>
  <c r="A4" i="114"/>
  <c r="C5" i="114"/>
  <c r="C6" i="114"/>
  <c r="D8" i="114"/>
  <c r="A12" i="114"/>
  <c r="C13" i="114"/>
  <c r="C14" i="114"/>
  <c r="D16" i="114"/>
  <c r="A20" i="114"/>
  <c r="C21" i="114"/>
  <c r="C22" i="114"/>
  <c r="D24" i="114"/>
  <c r="A27" i="114"/>
  <c r="C28" i="114"/>
  <c r="C29" i="114"/>
  <c r="D31" i="114"/>
  <c r="A33" i="114"/>
  <c r="C34" i="114"/>
  <c r="C35" i="114"/>
  <c r="D37" i="114"/>
  <c r="D39" i="114"/>
  <c r="A4" i="113"/>
  <c r="C5" i="113"/>
  <c r="C6" i="113"/>
  <c r="D8" i="113"/>
  <c r="A12" i="113"/>
  <c r="C13" i="113"/>
  <c r="C14" i="113"/>
  <c r="D16" i="113"/>
  <c r="A20" i="113"/>
  <c r="C21" i="113"/>
  <c r="C22" i="113"/>
  <c r="D24" i="113"/>
  <c r="A27" i="113"/>
  <c r="C28" i="113"/>
  <c r="C29" i="113"/>
  <c r="D31" i="113"/>
  <c r="C34" i="113"/>
  <c r="C35" i="113"/>
  <c r="D37" i="113"/>
  <c r="D39" i="113"/>
  <c r="A4" i="112"/>
  <c r="C5" i="112"/>
  <c r="C6" i="112"/>
  <c r="D8" i="112"/>
  <c r="A12" i="112"/>
  <c r="C13" i="112"/>
  <c r="C14" i="112"/>
  <c r="D16" i="112"/>
  <c r="A20" i="112"/>
  <c r="C21" i="112"/>
  <c r="C22" i="112"/>
  <c r="D24" i="112"/>
  <c r="A27" i="112"/>
  <c r="C28" i="112"/>
  <c r="C29" i="112"/>
  <c r="D31" i="112"/>
  <c r="C34" i="112"/>
  <c r="C35" i="112"/>
  <c r="D37" i="112"/>
  <c r="D39" i="112"/>
  <c r="A4" i="111"/>
  <c r="C5" i="111"/>
  <c r="C6" i="111"/>
  <c r="D8" i="111"/>
  <c r="A12" i="111"/>
  <c r="C13" i="111"/>
  <c r="C14" i="111"/>
  <c r="D16" i="111"/>
  <c r="A20" i="111"/>
  <c r="C21" i="111"/>
  <c r="C22" i="111"/>
  <c r="D24" i="111"/>
  <c r="A27" i="111"/>
  <c r="C28" i="111"/>
  <c r="C29" i="111"/>
  <c r="D31" i="111"/>
  <c r="A33" i="111"/>
  <c r="C34" i="111"/>
  <c r="C35" i="111"/>
  <c r="D37" i="111"/>
  <c r="D39" i="111"/>
  <c r="C5" i="110"/>
  <c r="C6" i="110"/>
  <c r="D8" i="110"/>
  <c r="A12" i="110"/>
  <c r="C13" i="110"/>
  <c r="C14" i="110"/>
  <c r="D16" i="110"/>
  <c r="A20" i="110"/>
  <c r="C21" i="110"/>
  <c r="C22" i="110"/>
  <c r="D24" i="110"/>
  <c r="A27" i="110"/>
  <c r="C28" i="110"/>
  <c r="C29" i="110"/>
  <c r="D31" i="110"/>
  <c r="C34" i="110"/>
  <c r="B35" i="110"/>
  <c r="C35" i="110"/>
  <c r="D37" i="110"/>
  <c r="D39" i="110"/>
  <c r="C5" i="109"/>
  <c r="C6" i="109"/>
  <c r="D8" i="109"/>
  <c r="A12" i="109"/>
  <c r="C13" i="109"/>
  <c r="C14" i="109"/>
  <c r="D16" i="109"/>
  <c r="A20" i="109"/>
  <c r="C21" i="109"/>
  <c r="C22" i="109"/>
  <c r="D24" i="109"/>
  <c r="A27" i="109"/>
  <c r="C28" i="109"/>
  <c r="C29" i="109"/>
  <c r="D31" i="109"/>
  <c r="C34" i="109"/>
  <c r="C35" i="109"/>
  <c r="D37" i="109"/>
  <c r="D39" i="109"/>
  <c r="C5" i="107"/>
  <c r="C6" i="107"/>
  <c r="D8" i="107"/>
  <c r="A12" i="107"/>
  <c r="C13" i="107"/>
  <c r="C14" i="107"/>
  <c r="D16" i="107"/>
  <c r="A20" i="107"/>
  <c r="C21" i="107"/>
  <c r="C22" i="107"/>
  <c r="D24" i="107"/>
  <c r="A27" i="107"/>
  <c r="C28" i="107"/>
  <c r="C29" i="107"/>
  <c r="D31" i="107"/>
  <c r="C34" i="107"/>
  <c r="C35" i="107"/>
  <c r="D37" i="107"/>
  <c r="D39" i="107"/>
  <c r="C4" i="105"/>
  <c r="C5" i="105"/>
  <c r="D7" i="105"/>
  <c r="C12" i="105"/>
  <c r="C13" i="105"/>
  <c r="D15" i="105"/>
  <c r="C20" i="105"/>
  <c r="C21" i="105"/>
  <c r="D23" i="105"/>
  <c r="C27" i="105"/>
  <c r="C28" i="105"/>
  <c r="D30" i="105"/>
  <c r="C33" i="105"/>
  <c r="C34" i="105"/>
  <c r="D36" i="105"/>
  <c r="D38" i="105"/>
  <c r="C4" i="104"/>
  <c r="C5" i="104"/>
  <c r="D7" i="104"/>
  <c r="C12" i="104"/>
  <c r="C13" i="104"/>
  <c r="D15" i="104"/>
  <c r="C20" i="104"/>
  <c r="C21" i="104"/>
  <c r="D23" i="104"/>
  <c r="C27" i="104"/>
  <c r="C28" i="104"/>
  <c r="D30" i="104"/>
  <c r="C33" i="104"/>
  <c r="C34" i="104"/>
  <c r="D36" i="104"/>
  <c r="D38" i="104"/>
  <c r="C4" i="103"/>
  <c r="C5" i="103"/>
  <c r="D7" i="103"/>
  <c r="C12" i="103"/>
  <c r="C13" i="103"/>
  <c r="D15" i="103"/>
  <c r="C20" i="103"/>
  <c r="C21" i="103"/>
  <c r="D23" i="103"/>
  <c r="C27" i="103"/>
  <c r="C28" i="103"/>
  <c r="D30" i="103"/>
  <c r="C33" i="103"/>
  <c r="C34" i="103"/>
  <c r="D36" i="103"/>
  <c r="D38" i="103"/>
  <c r="C4" i="102"/>
  <c r="C5" i="102"/>
  <c r="D7" i="102"/>
  <c r="C12" i="102"/>
  <c r="C13" i="102"/>
  <c r="D15" i="102"/>
  <c r="C20" i="102"/>
  <c r="C21" i="102"/>
  <c r="D23" i="102"/>
  <c r="C27" i="102"/>
  <c r="C28" i="102"/>
  <c r="D30" i="102"/>
  <c r="C33" i="102"/>
  <c r="C34" i="102"/>
  <c r="D36" i="102"/>
  <c r="D38" i="102"/>
  <c r="C4" i="101"/>
  <c r="C5" i="101"/>
  <c r="D7" i="101"/>
  <c r="C12" i="101"/>
  <c r="C13" i="101"/>
  <c r="D15" i="101"/>
  <c r="C20" i="101"/>
  <c r="C21" i="101"/>
  <c r="D23" i="101"/>
  <c r="C27" i="101"/>
  <c r="C28" i="101"/>
  <c r="D30" i="101"/>
  <c r="C33" i="101"/>
  <c r="C34" i="101"/>
  <c r="D36" i="101"/>
  <c r="D38" i="101"/>
  <c r="D7" i="100"/>
  <c r="D15" i="100"/>
  <c r="D23" i="100"/>
  <c r="D30" i="100"/>
  <c r="D36" i="100"/>
  <c r="D38" i="100"/>
  <c r="D7" i="99"/>
  <c r="D15" i="99"/>
  <c r="D23" i="99"/>
  <c r="D30" i="99"/>
  <c r="D36" i="99"/>
  <c r="D38" i="99"/>
  <c r="D7" i="97"/>
  <c r="D15" i="97"/>
  <c r="D23" i="97"/>
  <c r="D30" i="97"/>
  <c r="D36" i="97"/>
  <c r="D38" i="97"/>
  <c r="D7" i="96"/>
  <c r="D15" i="96"/>
  <c r="D23" i="96"/>
  <c r="D30" i="96"/>
  <c r="D36" i="96"/>
  <c r="D38" i="96"/>
  <c r="D7" i="95"/>
  <c r="D15" i="95"/>
  <c r="D23" i="95"/>
  <c r="D30" i="95"/>
  <c r="D38" i="95"/>
  <c r="D7" i="94"/>
  <c r="D15" i="94"/>
  <c r="D23" i="94"/>
  <c r="D30" i="94"/>
  <c r="D38" i="94"/>
  <c r="D7" i="93"/>
  <c r="D15" i="93"/>
  <c r="D23" i="93"/>
  <c r="D30" i="93"/>
  <c r="D38" i="93"/>
  <c r="D7" i="92"/>
  <c r="D15" i="92"/>
  <c r="D23" i="92"/>
  <c r="D30" i="92"/>
  <c r="D38" i="92"/>
  <c r="D7" i="91"/>
  <c r="D15" i="91"/>
  <c r="D23" i="91"/>
  <c r="D30" i="91"/>
  <c r="D36" i="91"/>
  <c r="D38" i="91"/>
  <c r="D7" i="90"/>
  <c r="D15" i="90"/>
  <c r="D23" i="90"/>
  <c r="D30" i="90"/>
  <c r="D36" i="90"/>
  <c r="D38" i="90"/>
  <c r="D7" i="89"/>
  <c r="D15" i="89"/>
  <c r="D23" i="89"/>
  <c r="D30" i="89"/>
  <c r="D36" i="89"/>
  <c r="D38" i="89"/>
  <c r="D7" i="88"/>
  <c r="D15" i="88"/>
  <c r="D23" i="88"/>
  <c r="D30" i="88"/>
  <c r="D36" i="88"/>
  <c r="D38" i="88"/>
  <c r="D7" i="86"/>
  <c r="D15" i="86"/>
  <c r="D23" i="86"/>
  <c r="D30" i="86"/>
  <c r="D36" i="86"/>
  <c r="D38" i="86"/>
  <c r="D7" i="85"/>
  <c r="D15" i="85"/>
  <c r="D23" i="85"/>
  <c r="D30" i="85"/>
  <c r="D36" i="85"/>
  <c r="D38" i="85"/>
  <c r="D7" i="84"/>
  <c r="D15" i="84"/>
  <c r="D23" i="84"/>
  <c r="D30" i="84"/>
  <c r="D36" i="84"/>
  <c r="D38" i="84"/>
  <c r="D7" i="83"/>
  <c r="D15" i="83"/>
  <c r="D23" i="83"/>
  <c r="D30" i="83"/>
  <c r="D36" i="83"/>
  <c r="D38" i="83"/>
  <c r="D7" i="82"/>
  <c r="D15" i="82"/>
  <c r="D23" i="82"/>
  <c r="D30" i="82"/>
  <c r="D36" i="82"/>
  <c r="D38" i="82"/>
  <c r="D7" i="81"/>
  <c r="D15" i="81"/>
  <c r="D23" i="81"/>
  <c r="D30" i="81"/>
  <c r="D36" i="81"/>
  <c r="D38" i="81"/>
  <c r="D7" i="80"/>
  <c r="D15" i="80"/>
  <c r="D23" i="80"/>
  <c r="D30" i="80"/>
  <c r="D36" i="80"/>
  <c r="D38" i="80"/>
  <c r="D7" i="79"/>
  <c r="D15" i="79"/>
  <c r="D23" i="79"/>
  <c r="D30" i="79"/>
  <c r="D36" i="79"/>
  <c r="D38" i="79"/>
  <c r="D7" i="78"/>
  <c r="D15" i="78"/>
  <c r="D23" i="78"/>
  <c r="D30" i="78"/>
  <c r="D36" i="78"/>
  <c r="D38" i="78"/>
  <c r="D7" i="77"/>
  <c r="D15" i="77"/>
  <c r="D23" i="77"/>
  <c r="D30" i="77"/>
  <c r="D36" i="77"/>
  <c r="D38" i="77"/>
  <c r="D7" i="76"/>
  <c r="D15" i="76"/>
  <c r="D23" i="76"/>
  <c r="D30" i="76"/>
  <c r="D36" i="76"/>
  <c r="D38" i="76"/>
  <c r="D7" i="75"/>
  <c r="D15" i="75"/>
  <c r="D23" i="75"/>
  <c r="D30" i="75"/>
  <c r="D36" i="75"/>
  <c r="D38" i="75"/>
  <c r="D7" i="74"/>
  <c r="D15" i="74"/>
  <c r="D23" i="74"/>
  <c r="D30" i="74"/>
  <c r="D36" i="74"/>
  <c r="D37" i="74"/>
  <c r="D38" i="74"/>
  <c r="D7" i="73"/>
  <c r="D15" i="73"/>
  <c r="D23" i="73"/>
  <c r="D30" i="73"/>
  <c r="D36" i="73"/>
  <c r="D38" i="73"/>
  <c r="D7" i="72"/>
  <c r="D15" i="72"/>
  <c r="D23" i="72"/>
  <c r="D30" i="72"/>
  <c r="D36" i="72"/>
  <c r="D38" i="72"/>
  <c r="D7" i="71"/>
  <c r="D15" i="71"/>
  <c r="D23" i="71"/>
  <c r="D30" i="71"/>
  <c r="D36" i="71"/>
  <c r="D38" i="71"/>
  <c r="D7" i="70"/>
  <c r="D15" i="70"/>
  <c r="D23" i="70"/>
  <c r="D30" i="70"/>
  <c r="D36" i="70"/>
  <c r="D38" i="70"/>
  <c r="D7" i="68"/>
  <c r="D15" i="68"/>
  <c r="D23" i="68"/>
  <c r="D30" i="68"/>
  <c r="D36" i="68"/>
  <c r="D38" i="68"/>
  <c r="D7" i="67"/>
  <c r="D15" i="67"/>
  <c r="D23" i="67"/>
  <c r="D30" i="67"/>
  <c r="D36" i="67"/>
  <c r="D38" i="67"/>
  <c r="D7" i="66"/>
  <c r="D15" i="66"/>
  <c r="D23" i="66"/>
  <c r="D30" i="66"/>
  <c r="D36" i="66"/>
  <c r="D38" i="66"/>
  <c r="D7" i="65"/>
  <c r="D15" i="65"/>
  <c r="D23" i="65"/>
  <c r="D30" i="65"/>
  <c r="D36" i="65"/>
  <c r="D38" i="65"/>
  <c r="D7" i="64"/>
  <c r="D15" i="64"/>
  <c r="D23" i="64"/>
  <c r="D30" i="64"/>
  <c r="D36" i="64"/>
  <c r="D38" i="64"/>
  <c r="D7" i="63"/>
  <c r="D15" i="63"/>
  <c r="D23" i="63"/>
  <c r="D30" i="63"/>
  <c r="D36" i="63"/>
  <c r="D38" i="63"/>
  <c r="D7" i="62"/>
  <c r="D15" i="62"/>
  <c r="D23" i="62"/>
  <c r="D30" i="62"/>
  <c r="D36" i="62"/>
  <c r="D38" i="62"/>
  <c r="D7" i="61"/>
  <c r="D15" i="61"/>
  <c r="D23" i="61"/>
  <c r="D30" i="61"/>
  <c r="D36" i="61"/>
  <c r="D38" i="61"/>
  <c r="D7" i="60"/>
  <c r="D15" i="60"/>
  <c r="D23" i="60"/>
  <c r="D30" i="60"/>
  <c r="D36" i="60"/>
  <c r="D38" i="60"/>
  <c r="D7" i="59"/>
  <c r="D15" i="59"/>
  <c r="D23" i="59"/>
  <c r="D30" i="59"/>
  <c r="D36" i="59"/>
  <c r="D38" i="59"/>
  <c r="D7" i="58"/>
  <c r="D15" i="58"/>
  <c r="D23" i="58"/>
  <c r="D30" i="58"/>
  <c r="D36" i="58"/>
  <c r="D38" i="58"/>
  <c r="D7" i="57"/>
  <c r="D15" i="57"/>
  <c r="D23" i="57"/>
  <c r="D30" i="57"/>
  <c r="D36" i="57"/>
  <c r="D38" i="57"/>
  <c r="D7" i="56"/>
  <c r="D15" i="56"/>
  <c r="D23" i="56"/>
  <c r="D30" i="56"/>
  <c r="D36" i="56"/>
  <c r="D38" i="56"/>
  <c r="D7" i="55"/>
  <c r="D15" i="55"/>
  <c r="D23" i="55"/>
  <c r="D30" i="55"/>
  <c r="D36" i="55"/>
  <c r="D38" i="55"/>
  <c r="D7" i="54"/>
  <c r="D15" i="54"/>
  <c r="D23" i="54"/>
  <c r="D30" i="54"/>
  <c r="D36" i="54"/>
  <c r="D38" i="54"/>
  <c r="D7" i="53"/>
  <c r="D15" i="53"/>
  <c r="D23" i="53"/>
  <c r="D30" i="53"/>
  <c r="D36" i="53"/>
  <c r="D38" i="53"/>
  <c r="D7" i="52"/>
  <c r="D15" i="52"/>
  <c r="D23" i="52"/>
  <c r="D30" i="52"/>
  <c r="D36" i="52"/>
  <c r="D38" i="52"/>
  <c r="D7" i="51"/>
  <c r="D15" i="51"/>
  <c r="D23" i="51"/>
  <c r="D30" i="51"/>
  <c r="D36" i="51"/>
  <c r="D38" i="51"/>
  <c r="D7" i="50"/>
  <c r="D15" i="50"/>
  <c r="D23" i="50"/>
  <c r="D30" i="50"/>
  <c r="D36" i="50"/>
  <c r="D38" i="50"/>
  <c r="D7" i="49"/>
  <c r="D15" i="49"/>
  <c r="D23" i="49"/>
  <c r="D30" i="49"/>
  <c r="D36" i="49"/>
  <c r="D38" i="49"/>
  <c r="D7" i="48"/>
  <c r="D15" i="48"/>
  <c r="D23" i="48"/>
  <c r="D30" i="48"/>
  <c r="D36" i="48"/>
  <c r="D38" i="48"/>
  <c r="D7" i="47"/>
  <c r="D15" i="47"/>
  <c r="D23" i="47"/>
  <c r="D30" i="47"/>
  <c r="D36" i="47"/>
  <c r="D38" i="47"/>
  <c r="D7" i="46"/>
  <c r="D15" i="46"/>
  <c r="D23" i="46"/>
  <c r="D30" i="46"/>
  <c r="D36" i="46"/>
  <c r="D38" i="46"/>
  <c r="D7" i="45"/>
  <c r="D15" i="45"/>
  <c r="D23" i="45"/>
  <c r="D30" i="45"/>
  <c r="D36" i="45"/>
  <c r="D38" i="45"/>
  <c r="D7" i="44"/>
  <c r="D15" i="44"/>
  <c r="D23" i="44"/>
  <c r="D30" i="44"/>
  <c r="D36" i="44"/>
  <c r="D38" i="44"/>
  <c r="D7" i="43"/>
  <c r="D15" i="43"/>
  <c r="D23" i="43"/>
  <c r="D30" i="43"/>
  <c r="D36" i="43"/>
  <c r="D38" i="43"/>
  <c r="D7" i="42"/>
  <c r="D15" i="42"/>
  <c r="D23" i="42"/>
  <c r="D30" i="42"/>
  <c r="D36" i="42"/>
  <c r="D38" i="42"/>
  <c r="D7" i="41"/>
  <c r="D15" i="41"/>
  <c r="D23" i="41"/>
  <c r="D30" i="41"/>
  <c r="D36" i="41"/>
  <c r="D38" i="41"/>
  <c r="D7" i="40"/>
  <c r="D15" i="40"/>
  <c r="D23" i="40"/>
  <c r="D30" i="40"/>
  <c r="D36" i="40"/>
  <c r="D38" i="40"/>
  <c r="D7" i="39"/>
  <c r="D15" i="39"/>
  <c r="D23" i="39"/>
  <c r="D30" i="39"/>
  <c r="D36" i="39"/>
  <c r="D38" i="39"/>
  <c r="D7" i="38"/>
  <c r="D15" i="38"/>
  <c r="D23" i="38"/>
  <c r="D30" i="38"/>
  <c r="D36" i="38"/>
  <c r="D38" i="38"/>
  <c r="D7" i="37"/>
  <c r="D15" i="37"/>
  <c r="D23" i="37"/>
  <c r="D30" i="37"/>
  <c r="D36" i="37"/>
  <c r="D38" i="37"/>
  <c r="D7" i="36"/>
  <c r="D15" i="36"/>
  <c r="D23" i="36"/>
  <c r="D30" i="36"/>
  <c r="D36" i="36"/>
  <c r="D38" i="36"/>
  <c r="D7" i="35"/>
  <c r="D15" i="35"/>
  <c r="D23" i="35"/>
  <c r="D30" i="35"/>
  <c r="D36" i="35"/>
  <c r="D38" i="35"/>
  <c r="D7" i="34"/>
  <c r="D15" i="34"/>
  <c r="D23" i="34"/>
  <c r="D30" i="34"/>
  <c r="D36" i="34"/>
  <c r="D38" i="34"/>
  <c r="D7" i="33"/>
  <c r="D15" i="33"/>
  <c r="D23" i="33"/>
  <c r="D30" i="33"/>
  <c r="D36" i="33"/>
  <c r="D38" i="33"/>
  <c r="D7" i="32"/>
  <c r="D15" i="32"/>
  <c r="D23" i="32"/>
  <c r="D30" i="32"/>
  <c r="D36" i="32"/>
  <c r="D38" i="32"/>
  <c r="D7" i="31"/>
  <c r="D15" i="31"/>
  <c r="D23" i="31"/>
  <c r="D30" i="31"/>
  <c r="D36" i="31"/>
  <c r="D38" i="31"/>
  <c r="D7" i="30"/>
  <c r="D15" i="30"/>
  <c r="D23" i="30"/>
  <c r="D30" i="30"/>
  <c r="D36" i="30"/>
  <c r="D38" i="30"/>
  <c r="D7" i="29"/>
  <c r="D15" i="29"/>
  <c r="D23" i="29"/>
  <c r="D30" i="29"/>
  <c r="D36" i="29"/>
  <c r="D38" i="29"/>
  <c r="D7" i="28"/>
  <c r="D15" i="28"/>
  <c r="D23" i="28"/>
  <c r="D30" i="28"/>
  <c r="D36" i="28"/>
  <c r="D38" i="28"/>
  <c r="D7" i="27"/>
  <c r="D15" i="27"/>
  <c r="D23" i="27"/>
  <c r="D30" i="27"/>
  <c r="D36" i="27"/>
  <c r="D38" i="27"/>
  <c r="D7" i="26"/>
  <c r="D15" i="26"/>
  <c r="D23" i="26"/>
  <c r="D30" i="26"/>
  <c r="D36" i="26"/>
  <c r="D38" i="26"/>
  <c r="D7" i="25"/>
  <c r="D15" i="25"/>
  <c r="D23" i="25"/>
  <c r="D30" i="25"/>
  <c r="D36" i="25"/>
  <c r="D38" i="25"/>
  <c r="D7" i="24"/>
  <c r="D15" i="24"/>
  <c r="D23" i="24"/>
  <c r="D30" i="24"/>
  <c r="D32" i="24"/>
  <c r="D7" i="23"/>
  <c r="D15" i="23"/>
  <c r="D23" i="23"/>
  <c r="D30" i="23"/>
  <c r="D32" i="23"/>
  <c r="D7" i="22"/>
  <c r="D15" i="22"/>
  <c r="D23" i="22"/>
  <c r="D30" i="22"/>
  <c r="D32" i="22"/>
  <c r="D7" i="21"/>
  <c r="D15" i="21"/>
  <c r="D23" i="21"/>
  <c r="D30" i="21"/>
  <c r="D32" i="21"/>
  <c r="D7" i="20"/>
  <c r="D15" i="20"/>
  <c r="D23" i="20"/>
  <c r="D30" i="20"/>
  <c r="D32" i="20"/>
  <c r="D7" i="19"/>
  <c r="D15" i="19"/>
  <c r="D23" i="19"/>
  <c r="D30" i="19"/>
  <c r="D32" i="19"/>
  <c r="D7" i="18"/>
  <c r="D15" i="18"/>
  <c r="D23" i="18"/>
  <c r="D30" i="18"/>
  <c r="D32" i="18"/>
  <c r="D7" i="17"/>
  <c r="D15" i="17"/>
  <c r="D23" i="17"/>
  <c r="D30" i="17"/>
  <c r="D32" i="17"/>
  <c r="D7" i="16"/>
  <c r="D15" i="16"/>
  <c r="D23" i="16"/>
  <c r="D30" i="16"/>
  <c r="D32" i="16"/>
  <c r="D7" i="15"/>
  <c r="D15" i="15"/>
  <c r="D23" i="15"/>
  <c r="D30" i="15"/>
  <c r="D32" i="15"/>
  <c r="D7" i="14"/>
  <c r="D15" i="14"/>
  <c r="D23" i="14"/>
  <c r="D30" i="14"/>
  <c r="D32" i="14"/>
  <c r="D7" i="13"/>
  <c r="D15" i="13"/>
  <c r="D23" i="13"/>
  <c r="D30" i="13"/>
  <c r="D32" i="13"/>
  <c r="D7" i="12"/>
  <c r="D15" i="12"/>
  <c r="D23" i="12"/>
  <c r="D30" i="12"/>
  <c r="D32" i="12"/>
  <c r="D7" i="11"/>
  <c r="D15" i="11"/>
  <c r="D23" i="11"/>
  <c r="D30" i="11"/>
  <c r="D32" i="11"/>
  <c r="B7" i="10"/>
  <c r="C7" i="10"/>
  <c r="D7" i="10"/>
  <c r="B15" i="10"/>
  <c r="C15" i="10"/>
  <c r="D15" i="10"/>
  <c r="B23" i="10"/>
  <c r="C23" i="10"/>
  <c r="D23" i="10"/>
  <c r="B30" i="10"/>
  <c r="C30" i="10"/>
  <c r="D30" i="10"/>
  <c r="D32" i="10"/>
  <c r="B7" i="9"/>
  <c r="C7" i="9"/>
  <c r="D7" i="9"/>
  <c r="B15" i="9"/>
  <c r="C15" i="9"/>
  <c r="D15" i="9"/>
  <c r="B22" i="9"/>
  <c r="C22" i="9"/>
  <c r="D22" i="9"/>
  <c r="B29" i="9"/>
  <c r="C29" i="9"/>
  <c r="D29" i="9"/>
  <c r="B36" i="9"/>
  <c r="C36" i="9"/>
  <c r="D36" i="9"/>
  <c r="D38" i="9"/>
  <c r="B7" i="8"/>
  <c r="C7" i="8"/>
  <c r="D7" i="8"/>
  <c r="B15" i="8"/>
  <c r="C15" i="8"/>
  <c r="D15" i="8"/>
  <c r="B23" i="8"/>
  <c r="C23" i="8"/>
  <c r="D23" i="8"/>
  <c r="B30" i="8"/>
  <c r="C30" i="8"/>
  <c r="D30" i="8"/>
  <c r="D32" i="8"/>
  <c r="B7" i="7"/>
  <c r="C7" i="7"/>
  <c r="D7" i="7"/>
  <c r="B15" i="7"/>
  <c r="C15" i="7"/>
  <c r="D15" i="7"/>
  <c r="B23" i="7"/>
  <c r="C23" i="7"/>
  <c r="D23" i="7"/>
  <c r="B30" i="7"/>
  <c r="C30" i="7"/>
  <c r="D30" i="7"/>
  <c r="D32" i="7"/>
  <c r="B7" i="6"/>
  <c r="C7" i="6"/>
  <c r="D7" i="6"/>
  <c r="B15" i="6"/>
  <c r="C15" i="6"/>
  <c r="D15" i="6"/>
  <c r="B23" i="6"/>
  <c r="C23" i="6"/>
  <c r="D23" i="6"/>
  <c r="B30" i="6"/>
  <c r="C30" i="6"/>
  <c r="D30" i="6"/>
  <c r="D32" i="6"/>
  <c r="B7" i="5"/>
  <c r="C7" i="5"/>
  <c r="D7" i="5"/>
  <c r="B15" i="5"/>
  <c r="C15" i="5"/>
  <c r="D15" i="5"/>
  <c r="B23" i="5"/>
  <c r="C23" i="5"/>
  <c r="D23" i="5"/>
  <c r="B30" i="5"/>
  <c r="C30" i="5"/>
  <c r="D30" i="5"/>
  <c r="D32" i="5"/>
  <c r="B7" i="4"/>
  <c r="C7" i="4"/>
  <c r="D7" i="4"/>
  <c r="B15" i="4"/>
  <c r="C15" i="4"/>
  <c r="D15" i="4"/>
  <c r="B23" i="4"/>
  <c r="C23" i="4"/>
  <c r="D23" i="4"/>
  <c r="B30" i="4"/>
  <c r="C30" i="4"/>
  <c r="D30" i="4"/>
  <c r="D32" i="4"/>
  <c r="B7" i="2"/>
  <c r="C7" i="2"/>
  <c r="D7" i="2"/>
  <c r="B15" i="2"/>
  <c r="C15" i="2"/>
  <c r="D15" i="2"/>
  <c r="B22" i="2"/>
  <c r="C22" i="2"/>
  <c r="D22" i="2"/>
  <c r="B29" i="2"/>
  <c r="C29" i="2"/>
  <c r="D29" i="2"/>
  <c r="B36" i="2"/>
  <c r="C36" i="2"/>
  <c r="D36" i="2"/>
  <c r="D38" i="2"/>
  <c r="B7" i="1"/>
  <c r="C7" i="1"/>
  <c r="D7" i="1"/>
  <c r="B15" i="1"/>
  <c r="C15" i="1"/>
  <c r="D15" i="1"/>
  <c r="B22" i="1"/>
  <c r="C22" i="1"/>
  <c r="D22" i="1"/>
  <c r="D24" i="1"/>
  <c r="D29" i="108" l="1"/>
  <c r="D32" i="108" s="1"/>
  <c r="D46" i="108"/>
  <c r="D37" i="108"/>
  <c r="D39" i="108" s="1"/>
  <c r="D22" i="108"/>
  <c r="D24" i="108"/>
  <c r="C7" i="108"/>
  <c r="B7" i="108"/>
  <c r="B8" i="108"/>
  <c r="D15" i="108"/>
  <c r="C8" i="108"/>
  <c r="D39" i="202"/>
  <c r="D32" i="202"/>
  <c r="D46" i="202"/>
  <c r="D17" i="202"/>
  <c r="D7" i="108"/>
  <c r="C30" i="201"/>
  <c r="D30" i="201" s="1"/>
  <c r="D32" i="201" s="1"/>
  <c r="D14" i="201"/>
  <c r="D4" i="201"/>
  <c r="D6" i="201" s="1"/>
  <c r="D22" i="201"/>
  <c r="D24" i="155"/>
  <c r="C40" i="154"/>
  <c r="D26" i="154"/>
  <c r="C24" i="162"/>
  <c r="D24" i="154"/>
  <c r="D40" i="162"/>
  <c r="D7" i="154"/>
  <c r="D15" i="155"/>
  <c r="D7" i="155"/>
  <c r="D15" i="162"/>
  <c r="D40" i="155"/>
  <c r="D13" i="155"/>
  <c r="D27" i="184"/>
  <c r="D15" i="154"/>
  <c r="D27" i="185"/>
  <c r="D7" i="162"/>
  <c r="D32" i="162"/>
  <c r="D32" i="154"/>
  <c r="D34" i="155"/>
  <c r="D35" i="185"/>
  <c r="D37" i="185"/>
  <c r="D20" i="185"/>
  <c r="D20" i="184"/>
  <c r="C38" i="162"/>
  <c r="D42" i="162" s="1"/>
  <c r="D30" i="185"/>
  <c r="D5" i="184"/>
  <c r="D5" i="162"/>
  <c r="D32" i="155"/>
  <c r="D30" i="184"/>
  <c r="D5" i="154"/>
  <c r="D30" i="155"/>
  <c r="D39" i="155"/>
  <c r="D42" i="154"/>
  <c r="B6" i="184"/>
  <c r="C6" i="184" s="1"/>
  <c r="D8" i="184" s="1"/>
  <c r="B6" i="185"/>
  <c r="C6" i="185" s="1"/>
  <c r="D6" i="185" s="1"/>
  <c r="D28" i="184"/>
  <c r="B6" i="162"/>
  <c r="C6" i="162" s="1"/>
  <c r="D6" i="162" s="1"/>
  <c r="D23" i="154"/>
  <c r="C6" i="155"/>
  <c r="D6" i="155" s="1"/>
  <c r="B6" i="154"/>
  <c r="D15" i="184"/>
  <c r="D13" i="184"/>
  <c r="D17" i="155"/>
  <c r="D30" i="162"/>
  <c r="D34" i="162"/>
  <c r="D23" i="185"/>
  <c r="D21" i="185"/>
  <c r="D22" i="162"/>
  <c r="D26" i="162"/>
  <c r="D23" i="184"/>
  <c r="D21" i="184"/>
  <c r="D26" i="155"/>
  <c r="D42" i="155"/>
  <c r="D38" i="155"/>
  <c r="D17" i="154"/>
  <c r="D13" i="154"/>
  <c r="C13" i="185"/>
  <c r="D15" i="185" s="1"/>
  <c r="D35" i="184"/>
  <c r="D23" i="162"/>
  <c r="D22" i="155"/>
  <c r="D37" i="184"/>
  <c r="D34" i="184"/>
  <c r="A4" i="155"/>
  <c r="A12" i="155" s="1"/>
  <c r="A21" i="155" s="1"/>
  <c r="A29" i="155" s="1"/>
  <c r="A37" i="155" s="1"/>
  <c r="A33" i="184"/>
  <c r="D17" i="162"/>
  <c r="D31" i="154"/>
  <c r="D22" i="154"/>
  <c r="D34" i="154"/>
  <c r="D30" i="154"/>
  <c r="D13" i="162"/>
  <c r="A20" i="108"/>
  <c r="A28" i="108" s="1"/>
  <c r="A35" i="108" s="1"/>
  <c r="A42" i="108" s="1"/>
  <c r="D8" i="108" l="1"/>
  <c r="D10" i="108" s="1"/>
  <c r="D17" i="108"/>
  <c r="F10" i="108" s="1"/>
  <c r="D38" i="162"/>
  <c r="D13" i="185"/>
  <c r="D9" i="162"/>
  <c r="D44" i="162" s="1"/>
  <c r="D8" i="185"/>
  <c r="D39" i="185" s="1"/>
  <c r="D6" i="184"/>
  <c r="D9" i="155"/>
  <c r="D44" i="155" s="1"/>
  <c r="C6" i="154"/>
  <c r="D6" i="154" s="1"/>
  <c r="D39" i="184"/>
  <c r="D9" i="154" l="1"/>
  <c r="D44" i="15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<sst xmlns="http://schemas.openxmlformats.org/spreadsheetml/2006/main" count="6330" uniqueCount="287">
  <si>
    <t xml:space="preserve">Home Protection Associates </t>
  </si>
  <si>
    <t>employee contribution</t>
  </si>
  <si>
    <t>Employer Contribution</t>
  </si>
  <si>
    <t>Crostic, Deanna</t>
  </si>
  <si>
    <t>Darr, Melanie</t>
  </si>
  <si>
    <t>Gandara, Araceli</t>
  </si>
  <si>
    <t>Martinez-Aguila, Carmen</t>
  </si>
  <si>
    <t>Amount Due</t>
  </si>
  <si>
    <t>Payroll 11/14/2009</t>
  </si>
  <si>
    <t>Employee Contribution</t>
  </si>
  <si>
    <t>Payroll 11/21/2009</t>
  </si>
  <si>
    <t>Payroll 11/28/2009</t>
  </si>
  <si>
    <t>Balance due Nov 2009</t>
  </si>
  <si>
    <t>Payroll 12/07/2009</t>
  </si>
  <si>
    <t>Payroll 12/14/2009</t>
  </si>
  <si>
    <t>Payroll 12/18/2009</t>
  </si>
  <si>
    <t>Balance due Dec 2009</t>
  </si>
  <si>
    <t>bonuses</t>
  </si>
  <si>
    <t>Payroll 12/21/2009</t>
  </si>
  <si>
    <t>Payroll 12/28/2009</t>
  </si>
  <si>
    <t>Payroll 01/04/2010</t>
  </si>
  <si>
    <t>Payroll 01/11/2010</t>
  </si>
  <si>
    <t>Payroll 01/16/2010</t>
  </si>
  <si>
    <t>Payroll 01/25/2010</t>
  </si>
  <si>
    <t>Balance due Jan 2010</t>
  </si>
  <si>
    <t>Payroll 02/01/2010</t>
  </si>
  <si>
    <t>Payroll 02/08/2010</t>
  </si>
  <si>
    <t>Payroll 02/13/2010</t>
  </si>
  <si>
    <t>Balance due Feb 2010</t>
  </si>
  <si>
    <t>Payroll 02/22/2010</t>
  </si>
  <si>
    <t>Payroll 03/15/2010</t>
  </si>
  <si>
    <t>Payroll 03/22/2010</t>
  </si>
  <si>
    <t>Payroll 03/29/2010</t>
  </si>
  <si>
    <t>Payroll 03/08/2010</t>
  </si>
  <si>
    <t>Balance due March 2010</t>
  </si>
  <si>
    <t>Balance due April 2010</t>
  </si>
  <si>
    <t>Payroll 04/05/2010</t>
  </si>
  <si>
    <t>Payroll 04/12/2010</t>
  </si>
  <si>
    <t>Payroll 04/19/2010</t>
  </si>
  <si>
    <t>Payroll 04/26/2010</t>
  </si>
  <si>
    <t>Payroll 05/03/2010</t>
  </si>
  <si>
    <t>Payroll 05/08/2010</t>
  </si>
  <si>
    <t>Payroll 05/24/2010</t>
  </si>
  <si>
    <t>Payroll 05/29/2010</t>
  </si>
  <si>
    <t>Balance due May 2010</t>
  </si>
  <si>
    <t>Payroll /2010</t>
  </si>
  <si>
    <t>Balance due June 2010</t>
  </si>
  <si>
    <t>Payroll 6/3//2010</t>
  </si>
  <si>
    <t>Payroll 6/10/2010</t>
  </si>
  <si>
    <t>Payroll 6/24/2010</t>
  </si>
  <si>
    <t>Payroll 6/30/2010</t>
  </si>
  <si>
    <t>Balance due July 2010</t>
  </si>
  <si>
    <t>Payroll 6/17/2010</t>
  </si>
  <si>
    <t>Payroll 7/3/2010</t>
  </si>
  <si>
    <t>Payroll/ 7/10/2010</t>
  </si>
  <si>
    <t>Payroll 7/17/2010</t>
  </si>
  <si>
    <t>Payroll 7/24/2010</t>
  </si>
  <si>
    <t>Payroll/ /2010</t>
  </si>
  <si>
    <t>Payroll 2010</t>
  </si>
  <si>
    <t>Balance due August 2010</t>
  </si>
  <si>
    <t>Balance due Sept 2010</t>
  </si>
  <si>
    <t>Payroll  9/3/2010</t>
  </si>
  <si>
    <t>Payroll 9/13 /2010</t>
  </si>
  <si>
    <t>Payroll 9/20/2010</t>
  </si>
  <si>
    <t>Payroll 9/27/2010</t>
  </si>
  <si>
    <t>Balance due Oct 2010</t>
  </si>
  <si>
    <t>Payroll  10/04/2010</t>
  </si>
  <si>
    <t>Payroll 10/08/2010</t>
  </si>
  <si>
    <t>Payroll 10/18/2010</t>
  </si>
  <si>
    <t>Payroll 10/25/2010</t>
  </si>
  <si>
    <t>Balance due Nov 2010</t>
  </si>
  <si>
    <t>Payroll  11/01/2010</t>
  </si>
  <si>
    <t>Payroll 11/08/2010</t>
  </si>
  <si>
    <t>Payroll 11/15/2010</t>
  </si>
  <si>
    <t>Payroll 11/22/2010</t>
  </si>
  <si>
    <t>Balance due Dec 2010</t>
  </si>
  <si>
    <t>Payroll  12/6/10</t>
  </si>
  <si>
    <t>Payroll 12/13/2010</t>
  </si>
  <si>
    <t>Payroll 12/20/2010</t>
  </si>
  <si>
    <t>Balance due Jan 2011</t>
  </si>
  <si>
    <t>Payroll  1/10/11</t>
  </si>
  <si>
    <t>Payroll 1/14/11</t>
  </si>
  <si>
    <t>Payroll 1/22/11</t>
  </si>
  <si>
    <t>Payroll 1/29/11</t>
  </si>
  <si>
    <t>Payroll  2/3/11</t>
  </si>
  <si>
    <t>Payroll 2/10/11</t>
  </si>
  <si>
    <t>Payroll 2/16/11</t>
  </si>
  <si>
    <t>Payroll 2/24/11</t>
  </si>
  <si>
    <t>Balance dueFeb2011</t>
  </si>
  <si>
    <t>Balance due March 2011</t>
  </si>
  <si>
    <t>Payroll  3/7/11</t>
  </si>
  <si>
    <t>Payroll  3/14/11</t>
  </si>
  <si>
    <t>Payroll 3/21/11</t>
  </si>
  <si>
    <t>Payroll 3/28/11</t>
  </si>
  <si>
    <t>Balance due April 2011</t>
  </si>
  <si>
    <t>Payroll  4/4/11</t>
  </si>
  <si>
    <t>Payroll  4/11/11</t>
  </si>
  <si>
    <t>Payroll 4/18/11</t>
  </si>
  <si>
    <t>Payroll 4/25/11</t>
  </si>
  <si>
    <t>Payroll 5/7/11</t>
  </si>
  <si>
    <t>Payroll 5/14/11</t>
  </si>
  <si>
    <t>Payroll 5/21/11</t>
  </si>
  <si>
    <t>Payroll5/28/11</t>
  </si>
  <si>
    <t>Balance due May 2011</t>
  </si>
  <si>
    <t>Payroll 6/4/11</t>
  </si>
  <si>
    <t>Payroll 6/11/11</t>
  </si>
  <si>
    <t>Payroll6/18/11</t>
  </si>
  <si>
    <t>Payroll 6/25/11</t>
  </si>
  <si>
    <t>Balance due June 2011</t>
  </si>
  <si>
    <t>Balance due July 2011</t>
  </si>
  <si>
    <t>Payroll 7/1/11</t>
  </si>
  <si>
    <t>Payroll 7/11/11</t>
  </si>
  <si>
    <t>Payroll 7/18/11</t>
  </si>
  <si>
    <t>Payroll 7/25/11</t>
  </si>
  <si>
    <t>Payroll 8/8/11</t>
  </si>
  <si>
    <t>Payroll 8/15/11</t>
  </si>
  <si>
    <t>Payroll 8/22/11</t>
  </si>
  <si>
    <t>Payroll 8/29/11</t>
  </si>
  <si>
    <t>Balance due Aug 2011</t>
  </si>
  <si>
    <t>Payroll 9/3/11</t>
  </si>
  <si>
    <t>Payroll 9/10/11</t>
  </si>
  <si>
    <t>Payroll 9/17/11</t>
  </si>
  <si>
    <t>Payroll 9/24/11</t>
  </si>
  <si>
    <t>Payroll10/1/11</t>
  </si>
  <si>
    <t>Payroll 10/8/11</t>
  </si>
  <si>
    <t>Payroll 10/15/11</t>
  </si>
  <si>
    <t>Payroll10/22/11</t>
  </si>
  <si>
    <t>Balance due Sept 2011</t>
  </si>
  <si>
    <t>Payroll10/29/11</t>
  </si>
  <si>
    <t xml:space="preserve">Total Oct </t>
  </si>
  <si>
    <t>Payroll 11/7/11</t>
  </si>
  <si>
    <t>Payroll 11/14/11</t>
  </si>
  <si>
    <t>Payroll 11/21/11</t>
  </si>
  <si>
    <t>Payroll 11/28/11</t>
  </si>
  <si>
    <t>Payroll</t>
  </si>
  <si>
    <t>Total Nov</t>
  </si>
  <si>
    <t>Total Dec</t>
  </si>
  <si>
    <t>Payroll 12/5/11</t>
  </si>
  <si>
    <t xml:space="preserve">Payroll 12/12/11 </t>
  </si>
  <si>
    <t>Payroll 12/19/11</t>
  </si>
  <si>
    <t>Payroll 12/24/11</t>
  </si>
  <si>
    <t>Payroll 12/31/11</t>
  </si>
  <si>
    <t>Total Jan 2012</t>
  </si>
  <si>
    <t>Payroll 1/9/2012</t>
  </si>
  <si>
    <t>Payroll 1/13/2012</t>
  </si>
  <si>
    <t>Payroll 1/23/2012</t>
  </si>
  <si>
    <t>Payroll 1/30/2012</t>
  </si>
  <si>
    <t>Payroll 2/6/2012</t>
  </si>
  <si>
    <t>Payroll 2/13/2012</t>
  </si>
  <si>
    <t xml:space="preserve">Payroll 2/20/2012 </t>
  </si>
  <si>
    <t>Payroll 2/27/2012</t>
  </si>
  <si>
    <t xml:space="preserve">Payroll </t>
  </si>
  <si>
    <t>Total Feb 2012</t>
  </si>
  <si>
    <t>Total March 2012</t>
  </si>
  <si>
    <t>Payroll 3/5/2012</t>
  </si>
  <si>
    <t>Payroll 3/12/2012</t>
  </si>
  <si>
    <t xml:space="preserve">Payroll 3/19/2012 </t>
  </si>
  <si>
    <t>Payroll 3/26/2012</t>
  </si>
  <si>
    <t>Total April 2012</t>
  </si>
  <si>
    <t>Payroll 4/2/2012</t>
  </si>
  <si>
    <t>Payroll 4/9/2012</t>
  </si>
  <si>
    <t xml:space="preserve">Payroll 4/16/2012 </t>
  </si>
  <si>
    <t>Payroll 4/23/2012</t>
  </si>
  <si>
    <t>Payroll 4/30/2012</t>
  </si>
  <si>
    <t>Total May  2012</t>
  </si>
  <si>
    <t>Payroll 5/7/2012</t>
  </si>
  <si>
    <t>Payroll 5/14/2012</t>
  </si>
  <si>
    <t>Payroll 5/21/2012</t>
  </si>
  <si>
    <t>Payroll 5/25/2012</t>
  </si>
  <si>
    <t>Total June  2012</t>
  </si>
  <si>
    <t>Payroll 6/4/2012</t>
  </si>
  <si>
    <t>Payroll 6/11/2012</t>
  </si>
  <si>
    <t>Payroll 6/18/2012</t>
  </si>
  <si>
    <t>Payroll 6/25/2012</t>
  </si>
  <si>
    <t>Payroll 7/2/12</t>
  </si>
  <si>
    <t>Payroll 7/9/12</t>
  </si>
  <si>
    <t>Payroll 7/16/12</t>
  </si>
  <si>
    <t>Payroll 7/23/12</t>
  </si>
  <si>
    <t>Payroll 7/30/12</t>
  </si>
  <si>
    <t>Total July  2012</t>
  </si>
  <si>
    <t>Payroll 8/6/12/12</t>
  </si>
  <si>
    <t>Payroll 8/13/12</t>
  </si>
  <si>
    <t>Payroll 8/20/12</t>
  </si>
  <si>
    <t>Payroll 8/27/12</t>
  </si>
  <si>
    <t>Payroll 8/31/12</t>
  </si>
  <si>
    <t>Total Aug  2012</t>
  </si>
  <si>
    <t>Total</t>
  </si>
  <si>
    <t>Payroll9/1/12</t>
  </si>
  <si>
    <t>Payroll 9/8/12</t>
  </si>
  <si>
    <t>Payroll 9/15/12</t>
  </si>
  <si>
    <t>Payroll 9/24/12</t>
  </si>
  <si>
    <t>Payroll 10/05/12</t>
  </si>
  <si>
    <t>Payroll 10/15/12</t>
  </si>
  <si>
    <t>Payroll 10/22/12</t>
  </si>
  <si>
    <t>Payroll 10/29/12</t>
  </si>
  <si>
    <t>Payroll 11/5/12</t>
  </si>
  <si>
    <t>Payroll 11/9/12</t>
  </si>
  <si>
    <t>Payroll 11/19/12</t>
  </si>
  <si>
    <t>Payroll 11/24/12</t>
  </si>
  <si>
    <t>Payroll 12/3/12</t>
  </si>
  <si>
    <t>Payroll 12/17/12</t>
  </si>
  <si>
    <t>Payroll 12/24/12</t>
  </si>
  <si>
    <t>Payroll 12/31/12</t>
  </si>
  <si>
    <t>Payroll 1/7/13</t>
  </si>
  <si>
    <t>Payroll 1/14/13</t>
  </si>
  <si>
    <t>Payroll 1/21/13</t>
  </si>
  <si>
    <t>Payroll 1/28/13</t>
  </si>
  <si>
    <t>Payroll 2/4/13</t>
  </si>
  <si>
    <t>Payroll 2/11/13</t>
  </si>
  <si>
    <t>Payroll 2/15/13/13</t>
  </si>
  <si>
    <t>Payroll 2/25/13</t>
  </si>
  <si>
    <t>Payroll 3/4/13</t>
  </si>
  <si>
    <t>Payroll 3/11/13</t>
  </si>
  <si>
    <t>Payroll 3/18/13</t>
  </si>
  <si>
    <t>Payroll 3/25/13</t>
  </si>
  <si>
    <t>Payroll 4/1/2013</t>
  </si>
  <si>
    <t>Payroll 4/8/13</t>
  </si>
  <si>
    <t>Payroll 4/15/13</t>
  </si>
  <si>
    <t>Payroll 4/22/13</t>
  </si>
  <si>
    <t>Payroll 4/29/13</t>
  </si>
  <si>
    <t>Payroll 5/13/2013</t>
  </si>
  <si>
    <t>Payroll 5/20/2013</t>
  </si>
  <si>
    <t>Payroll 5/24/2013</t>
  </si>
  <si>
    <t>Payroll 6/10/13</t>
  </si>
  <si>
    <t>Payroll 6/17/13</t>
  </si>
  <si>
    <t>Payroll 6/24/13</t>
  </si>
  <si>
    <t>Payroll 7/15/13</t>
  </si>
  <si>
    <t>Payroll 7/22/13</t>
  </si>
  <si>
    <t>Payroll 7/29/13</t>
  </si>
  <si>
    <t>Payroll 8/12/13</t>
  </si>
  <si>
    <t>Payroll 8/19/13</t>
  </si>
  <si>
    <t>Payroll 8/26/13</t>
  </si>
  <si>
    <t>Payroll 8/30/13</t>
  </si>
  <si>
    <t>Payroll 9/16/2013</t>
  </si>
  <si>
    <t>Payroll 9/23/2013</t>
  </si>
  <si>
    <t>Payroll 9/30/2013</t>
  </si>
  <si>
    <t>Payroll 10/11/2013</t>
  </si>
  <si>
    <t>Payroll 10/21/2013</t>
  </si>
  <si>
    <t>Payroll 10/28/2013</t>
  </si>
  <si>
    <t>Payroll 11/08/2013</t>
  </si>
  <si>
    <t>Payroll 11/18/2013</t>
  </si>
  <si>
    <t>Payroll 11/25/2013</t>
  </si>
  <si>
    <t>Payroll 12/09/2013</t>
  </si>
  <si>
    <t>Payroll 12/16/2013</t>
  </si>
  <si>
    <t>Payroll 12/23/2013</t>
  </si>
  <si>
    <t>Payroll 12/30/2013</t>
  </si>
  <si>
    <t>Payroll 1/13/2014</t>
  </si>
  <si>
    <t>Payroll 1/17/14</t>
  </si>
  <si>
    <t>Payroll 1/27/2014</t>
  </si>
  <si>
    <t>Payroll 2/10/2014</t>
  </si>
  <si>
    <t>Payroll 2/14/2014</t>
  </si>
  <si>
    <t>Payroll 2/24/2014</t>
  </si>
  <si>
    <t>Final check</t>
  </si>
  <si>
    <t>Oct 6,2014</t>
  </si>
  <si>
    <t>Nov 3/2014</t>
  </si>
  <si>
    <t>Dec 8,2014</t>
  </si>
  <si>
    <t>Jan 5 2015</t>
  </si>
  <si>
    <t>Jan 12 2015</t>
  </si>
  <si>
    <t>Jan 16 2015</t>
  </si>
  <si>
    <t>Jan 26 2015</t>
  </si>
  <si>
    <t>paid</t>
  </si>
  <si>
    <t>Paid 11/5/15</t>
  </si>
  <si>
    <t>10/7/16/2016</t>
  </si>
  <si>
    <t>Gandara Araceli</t>
  </si>
  <si>
    <t>03/015/18</t>
  </si>
  <si>
    <t>Melanie Gardas – 2344-9181</t>
  </si>
  <si>
    <t>Araceli Gandara – 2236-4498</t>
  </si>
  <si>
    <t xml:space="preserve">Employee – EMPL          </t>
  </si>
  <si>
    <t xml:space="preserve">Employer – SMPRC            </t>
  </si>
  <si>
    <t>Paid</t>
  </si>
  <si>
    <t>For Month:</t>
  </si>
  <si>
    <t>Ajay Punjabi</t>
  </si>
  <si>
    <t>Ajay Punjabi - 3569-3676</t>
  </si>
  <si>
    <t>No Week 5 Paycheck</t>
  </si>
  <si>
    <t>Month Totals</t>
  </si>
  <si>
    <t>Grand Total Paid</t>
  </si>
  <si>
    <t>Monthly Subtotal</t>
  </si>
  <si>
    <t>June Totals</t>
  </si>
  <si>
    <t>July Subtotal</t>
  </si>
  <si>
    <t>August Subtotal</t>
  </si>
  <si>
    <t>Grand total</t>
  </si>
  <si>
    <t xml:space="preserve"> </t>
  </si>
  <si>
    <t>October Subtotal</t>
  </si>
  <si>
    <t>November Subtotal</t>
  </si>
  <si>
    <t>December Subtotal</t>
  </si>
  <si>
    <t>January Subtotal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</si>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</sst>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m\ d\,\ yyyy;@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15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3" fillId="2" borderId="0" xfId="0" applyFont="1" applyFill="1"/>
    <xf numFmtId="15" fontId="0" fillId="2" borderId="0" xfId="0" applyNumberFormat="1" applyFill="1"/>
    <xf numFmtId="0" fontId="0" fillId="2" borderId="0" xfId="0" applyFill="1"/>
    <xf numFmtId="15" fontId="0" fillId="0" borderId="0" xfId="0" applyNumberFormat="1" applyAlignment="1">
      <alignment horizontal="left"/>
    </xf>
    <xf numFmtId="14" fontId="0" fillId="0" borderId="0" xfId="0" applyNumberFormat="1"/>
    <xf numFmtId="44" fontId="0" fillId="0" borderId="0" xfId="1" applyFont="1"/>
    <xf numFmtId="14" fontId="0" fillId="0" borderId="0" xfId="0" applyNumberFormat="1" applyAlignment="1">
      <alignment horizontal="left"/>
    </xf>
    <xf numFmtId="14" fontId="5" fillId="0" borderId="0" xfId="0" applyNumberFormat="1" applyFont="1"/>
    <xf numFmtId="0" fontId="6" fillId="0" borderId="0" xfId="0" applyFont="1" applyAlignment="1">
      <alignment vertical="center"/>
    </xf>
    <xf numFmtId="0" fontId="6" fillId="0" borderId="0" xfId="0" applyFont="1"/>
    <xf numFmtId="44" fontId="5" fillId="0" borderId="0" xfId="1" applyFont="1"/>
    <xf numFmtId="44" fontId="0" fillId="0" borderId="1" xfId="1" applyFont="1" applyBorder="1"/>
    <xf numFmtId="44" fontId="0" fillId="0" borderId="2" xfId="1" applyFont="1" applyBorder="1"/>
    <xf numFmtId="44" fontId="0" fillId="0" borderId="3" xfId="1" applyFont="1" applyBorder="1"/>
    <xf numFmtId="44" fontId="0" fillId="0" borderId="4" xfId="1" applyFont="1" applyBorder="1"/>
    <xf numFmtId="44" fontId="0" fillId="0" borderId="5" xfId="1" applyFont="1" applyBorder="1"/>
    <xf numFmtId="44" fontId="0" fillId="0" borderId="6" xfId="1" applyFont="1" applyBorder="1"/>
    <xf numFmtId="44" fontId="0" fillId="0" borderId="7" xfId="1" applyFont="1" applyBorder="1"/>
    <xf numFmtId="44" fontId="0" fillId="0" borderId="8" xfId="1" applyFont="1" applyBorder="1"/>
    <xf numFmtId="44" fontId="0" fillId="0" borderId="9" xfId="1" applyFont="1" applyBorder="1"/>
    <xf numFmtId="44" fontId="0" fillId="0" borderId="10" xfId="1" applyFont="1" applyBorder="1"/>
    <xf numFmtId="164" fontId="5" fillId="0" borderId="1" xfId="1" applyNumberFormat="1" applyFont="1" applyBorder="1"/>
    <xf numFmtId="44" fontId="0" fillId="0" borderId="0" xfId="1" applyFont="1" applyBorder="1"/>
    <xf numFmtId="44" fontId="0" fillId="0" borderId="11" xfId="1" applyFont="1" applyBorder="1"/>
    <xf numFmtId="44" fontId="0" fillId="0" borderId="0" xfId="0" applyNumberFormat="1"/>
    <xf numFmtId="44" fontId="5" fillId="0" borderId="0" xfId="0" applyNumberFormat="1" applyFont="1"/>
    <xf numFmtId="44" fontId="5" fillId="0" borderId="1" xfId="1" applyFont="1" applyBorder="1"/>
    <xf numFmtId="44" fontId="0" fillId="0" borderId="0" xfId="0" applyNumberFormat="1" applyAlignment="1">
      <alignment horizontal="left"/>
    </xf>
    <xf numFmtId="44" fontId="6" fillId="0" borderId="0" xfId="0" applyNumberFormat="1" applyFont="1"/>
    <xf numFmtId="44" fontId="6" fillId="0" borderId="0" xfId="0" applyNumberFormat="1" applyFont="1" applyAlignment="1">
      <alignment vertical="center"/>
    </xf>
    <xf numFmtId="44" fontId="6" fillId="0" borderId="0" xfId="1" applyFont="1"/>
    <xf numFmtId="164" fontId="3" fillId="0" borderId="1" xfId="1" applyNumberFormat="1" applyFont="1" applyBorder="1"/>
    <xf numFmtId="44" fontId="5" fillId="0" borderId="0" xfId="1" applyFont="1" applyBorder="1"/>
    <xf numFmtId="164" fontId="3" fillId="0" borderId="0" xfId="1" applyNumberFormat="1" applyFont="1" applyBorder="1"/>
    <xf numFmtId="44" fontId="4" fillId="0" borderId="1" xfId="1" applyFont="1" applyBorder="1"/>
    <xf numFmtId="44" fontId="4" fillId="0" borderId="0" xfId="1" applyFont="1" applyBorder="1"/>
    <xf numFmtId="44" fontId="0" fillId="0" borderId="0" xfId="1" applyFont="1" applyAlignment="1">
      <alignment horizontal="right"/>
    </xf>
    <xf numFmtId="44" fontId="1" fillId="0" borderId="0" xfId="1" applyFont="1"/>
    <xf numFmtId="44" fontId="0" fillId="0" borderId="0" xfId="1" applyFont="1" applyAlignment="1"/>
    <xf numFmtId="164" fontId="3" fillId="0" borderId="1" xfId="1" applyNumberFormat="1" applyFont="1" applyBorder="1" applyAlignment="1"/>
    <xf numFmtId="164" fontId="3" fillId="0" borderId="0" xfId="1" applyNumberFormat="1" applyFont="1" applyBorder="1" applyAlignment="1"/>
    <xf numFmtId="44" fontId="0" fillId="0" borderId="3" xfId="1" applyFont="1" applyBorder="1" applyAlignment="1"/>
    <xf numFmtId="44" fontId="0" fillId="0" borderId="1" xfId="1" applyFont="1" applyBorder="1" applyAlignment="1"/>
    <xf numFmtId="44" fontId="0" fillId="0" borderId="0" xfId="1" applyFont="1" applyBorder="1" applyAlignment="1"/>
    <xf numFmtId="44" fontId="4" fillId="0" borderId="1" xfId="1" applyFont="1" applyBorder="1" applyAlignment="1"/>
    <xf numFmtId="44" fontId="6" fillId="0" borderId="0" xfId="1" applyFont="1" applyAlignment="1"/>
    <xf numFmtId="44" fontId="4" fillId="0" borderId="0" xfId="1" applyFont="1" applyBorder="1" applyAlignment="1"/>
    <xf numFmtId="164" fontId="5" fillId="0" borderId="0" xfId="1" applyNumberFormat="1" applyFont="1" applyBorder="1"/>
    <xf numFmtId="44" fontId="1" fillId="0" borderId="0" xfId="1" applyFont="1" applyAlignment="1">
      <alignment horizontal="right"/>
    </xf>
    <xf numFmtId="0" fontId="0" fillId="3" borderId="0" xfId="0" applyFill="1"/>
    <xf numFmtId="44" fontId="0" fillId="3" borderId="0" xfId="1" applyFont="1" applyFill="1"/>
    <xf numFmtId="14" fontId="0" fillId="3" borderId="0" xfId="0" applyNumberFormat="1" applyFill="1" applyAlignment="1">
      <alignment horizontal="left"/>
    </xf>
    <xf numFmtId="164" fontId="3" fillId="3" borderId="0" xfId="1" applyNumberFormat="1" applyFont="1" applyFill="1" applyBorder="1" applyAlignment="1"/>
    <xf numFmtId="44" fontId="0" fillId="3" borderId="0" xfId="1" applyFont="1" applyFill="1" applyAlignment="1"/>
    <xf numFmtId="164" fontId="3" fillId="3" borderId="1" xfId="1" applyNumberFormat="1" applyFont="1" applyFill="1" applyBorder="1" applyAlignment="1"/>
    <xf numFmtId="0" fontId="6" fillId="3" borderId="0" xfId="0" applyFont="1" applyFill="1" applyAlignment="1">
      <alignment vertical="center"/>
    </xf>
    <xf numFmtId="44" fontId="0" fillId="3" borderId="3" xfId="1" applyFont="1" applyFill="1" applyBorder="1" applyAlignment="1"/>
    <xf numFmtId="14" fontId="0" fillId="3" borderId="0" xfId="0" applyNumberFormat="1" applyFill="1"/>
    <xf numFmtId="44" fontId="0" fillId="0" borderId="0" xfId="1" applyFont="1" applyFill="1" applyBorder="1" applyAlignment="1"/>
    <xf numFmtId="44" fontId="0" fillId="0" borderId="3" xfId="1" applyFont="1" applyFill="1" applyBorder="1" applyAlignment="1"/>
    <xf numFmtId="0" fontId="0" fillId="0" borderId="2" xfId="0" applyBorder="1"/>
    <xf numFmtId="0" fontId="1" fillId="0" borderId="2" xfId="0" applyFont="1" applyBorder="1"/>
    <xf numFmtId="44" fontId="3" fillId="0" borderId="2" xfId="1" applyFont="1" applyBorder="1"/>
    <xf numFmtId="17" fontId="3" fillId="0" borderId="0" xfId="0" applyNumberFormat="1" applyFont="1"/>
    <xf numFmtId="44" fontId="3" fillId="0" borderId="0" xfId="1" applyFont="1"/>
    <xf numFmtId="0" fontId="3" fillId="0" borderId="2" xfId="0" applyFont="1" applyBorder="1"/>
    <xf numFmtId="44" fontId="3" fillId="0" borderId="0" xfId="1" applyFont="1" applyAlignment="1">
      <alignment horizontal="center"/>
    </xf>
    <xf numFmtId="44" fontId="0" fillId="0" borderId="0" xfId="1" applyFont="1" applyAlignment="1">
      <alignment horizontal="right"/>
    </xf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microsoft.com/office/2022/10/relationships/richValueRel" Target="richData/richValueRel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microsoft.com/office/2017/06/relationships/rdRichValue" Target="richData/rdrichvalue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microsoft.com/office/2017/06/relationships/rdRichValueStructure" Target="richData/rdrichvaluestructure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sharedStrings" Target="sharedStrings.xml"/><Relationship Id="rId208" Type="http://schemas.microsoft.com/office/2017/06/relationships/rdRichValueTypes" Target="richData/rdRichValueTyp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calcChain" Target="calcChain.xml"/><Relationship Id="rId190" Type="http://schemas.openxmlformats.org/officeDocument/2006/relationships/worksheet" Target="worksheets/sheet190.xml"/><Relationship Id="rId204" Type="http://schemas.openxmlformats.org/officeDocument/2006/relationships/sheetMetadata" Target="metadata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styles" Target="style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41</xdr:row>
      <xdr:rowOff>95250</xdr:rowOff>
    </xdr:from>
    <xdr:to>
      <xdr:col>3</xdr:col>
      <xdr:colOff>638175</xdr:colOff>
      <xdr:row>43</xdr:row>
      <xdr:rowOff>19050</xdr:rowOff>
    </xdr:to>
    <xdr:pic>
      <xdr:nvPicPr>
        <xdr:cNvPr id="1032" name="Picture 2">
          <a:extLst>
            <a:ext uri="{FF2B5EF4-FFF2-40B4-BE49-F238E27FC236}">
              <a16:creationId xmlns:a16="http://schemas.microsoft.com/office/drawing/2014/main" id="{B8DBFC14-79EA-9A6C-CF4D-B41258CA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7486650"/>
          <a:ext cx="17240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1181100</xdr:colOff>
      <xdr:row>41</xdr:row>
      <xdr:rowOff>85725</xdr:rowOff>
    </xdr:from>
    <xdr:to>
      <xdr:col>3</xdr:col>
      <xdr:colOff>1143000</xdr:colOff>
      <xdr:row>43</xdr:row>
      <xdr:rowOff>9525</xdr:rowOff>
    </xdr:to>
    <xdr:pic>
      <xdr:nvPicPr>
        <xdr:cNvPr id="3078" name="Picture 1">
          <a:extLst>
            <a:ext uri="{FF2B5EF4-FFF2-40B4-BE49-F238E27FC236}">
              <a16:creationId xmlns:a16="http://schemas.microsoft.com/office/drawing/2014/main" id="{53CDC891-589F-2591-2A9F-4DFEF03D9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477125"/>
          <a:ext cx="17240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1304925</xdr:colOff>
      <xdr:row>41</xdr:row>
      <xdr:rowOff>123825</xdr:rowOff>
    </xdr:from>
    <xdr:to>
      <xdr:col>3</xdr:col>
      <xdr:colOff>1266825</xdr:colOff>
      <xdr:row>43</xdr:row>
      <xdr:rowOff>47625</xdr:rowOff>
    </xdr:to>
    <xdr:pic>
      <xdr:nvPicPr>
        <xdr:cNvPr id="4102" name="Picture 1">
          <a:extLst>
            <a:ext uri="{FF2B5EF4-FFF2-40B4-BE49-F238E27FC236}">
              <a16:creationId xmlns:a16="http://schemas.microsoft.com/office/drawing/2014/main" id="{B9B1A100-A50D-FBA2-4EA1-4B682382A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7515225"/>
          <a:ext cx="17240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1466850</xdr:colOff>
      <xdr:row>41</xdr:row>
      <xdr:rowOff>66675</xdr:rowOff>
    </xdr:from>
    <xdr:to>
      <xdr:col>4</xdr:col>
      <xdr:colOff>19050</xdr:colOff>
      <xdr:row>42</xdr:row>
      <xdr:rowOff>581025</xdr:rowOff>
    </xdr:to>
    <xdr:pic>
      <xdr:nvPicPr>
        <xdr:cNvPr id="5126" name="Picture 1">
          <a:extLst>
            <a:ext uri="{FF2B5EF4-FFF2-40B4-BE49-F238E27FC236}">
              <a16:creationId xmlns:a16="http://schemas.microsoft.com/office/drawing/2014/main" id="{F69DA9F0-D161-5F6C-3F58-1291A5B2B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7458075"/>
          <a:ext cx="17240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1438275</xdr:colOff>
      <xdr:row>41</xdr:row>
      <xdr:rowOff>66675</xdr:rowOff>
    </xdr:from>
    <xdr:to>
      <xdr:col>3</xdr:col>
      <xdr:colOff>1400175</xdr:colOff>
      <xdr:row>42</xdr:row>
      <xdr:rowOff>581025</xdr:rowOff>
    </xdr:to>
    <xdr:pic>
      <xdr:nvPicPr>
        <xdr:cNvPr id="2054" name="Picture 1">
          <a:extLst>
            <a:ext uri="{FF2B5EF4-FFF2-40B4-BE49-F238E27FC236}">
              <a16:creationId xmlns:a16="http://schemas.microsoft.com/office/drawing/2014/main" id="{7E041461-25E4-9885-F526-DF07AAAB7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7458075"/>
          <a:ext cx="17240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1438275</xdr:colOff>
      <xdr:row>41</xdr:row>
      <xdr:rowOff>66675</xdr:rowOff>
    </xdr:from>
    <xdr:to>
      <xdr:col>3</xdr:col>
      <xdr:colOff>1400175</xdr:colOff>
      <xdr:row>42</xdr:row>
      <xdr:rowOff>581025</xdr:rowOff>
    </xdr:to>
    <xdr:pic>
      <xdr:nvPicPr>
        <xdr:cNvPr id="190468" name="Picture 1">
          <a:extLst>
            <a:ext uri="{FF2B5EF4-FFF2-40B4-BE49-F238E27FC236}">
              <a16:creationId xmlns:a16="http://schemas.microsoft.com/office/drawing/2014/main" id="{B1F75888-0B5C-C105-4200-60F645ECC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7458075"/>
          <a:ext cx="17240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1438275</xdr:colOff>
      <xdr:row>41</xdr:row>
      <xdr:rowOff>66675</xdr:rowOff>
    </xdr:from>
    <xdr:to>
      <xdr:col>3</xdr:col>
      <xdr:colOff>1400175</xdr:colOff>
      <xdr:row>42</xdr:row>
      <xdr:rowOff>581025</xdr:rowOff>
    </xdr:to>
    <xdr:pic>
      <xdr:nvPicPr>
        <xdr:cNvPr id="191490" name="Picture 1">
          <a:extLst>
            <a:ext uri="{FF2B5EF4-FFF2-40B4-BE49-F238E27FC236}">
              <a16:creationId xmlns:a16="http://schemas.microsoft.com/office/drawing/2014/main" id="{D00DB5F5-B5C9-A4D3-2795-9570927FE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7458075"/>
          <a:ext cx="17240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6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7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8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9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0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1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2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12DE-2B39-4268-8A15-0F12ADB9DA7D}">
  <dimension ref="A1:D24"/>
  <sheetViews>
    <sheetView workbookViewId="0">
      <selection sqref="A1:D29"/>
    </sheetView>
  </sheetViews>
  <sheetFormatPr defaultRowHeight="12.75" x14ac:dyDescent="0.2"/>
  <cols>
    <col min="1" max="1" width="24.140625" customWidth="1"/>
    <col min="2" max="2" width="20" customWidth="1"/>
    <col min="3" max="3" width="19.85546875" customWidth="1"/>
    <col min="4" max="4" width="11.5703125" customWidth="1"/>
  </cols>
  <sheetData>
    <row r="1" spans="1:4" x14ac:dyDescent="0.2">
      <c r="A1" t="s">
        <v>0</v>
      </c>
    </row>
    <row r="2" spans="1:4" x14ac:dyDescent="0.2">
      <c r="A2" s="1" t="s">
        <v>8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 s="2">
        <v>99.4</v>
      </c>
      <c r="C3">
        <v>42.6</v>
      </c>
    </row>
    <row r="4" spans="1:4" x14ac:dyDescent="0.2">
      <c r="A4" t="s">
        <v>4</v>
      </c>
      <c r="B4">
        <v>24.6</v>
      </c>
      <c r="C4">
        <v>24.6</v>
      </c>
    </row>
    <row r="5" spans="1:4" x14ac:dyDescent="0.2">
      <c r="A5" t="s">
        <v>5</v>
      </c>
      <c r="B5">
        <v>18.600000000000001</v>
      </c>
      <c r="C5">
        <v>18.600000000000001</v>
      </c>
    </row>
    <row r="6" spans="1:4" x14ac:dyDescent="0.2">
      <c r="A6" t="s">
        <v>6</v>
      </c>
      <c r="B6">
        <v>31.98</v>
      </c>
      <c r="C6">
        <v>31.98</v>
      </c>
    </row>
    <row r="7" spans="1:4" x14ac:dyDescent="0.2">
      <c r="B7">
        <f>SUM(B3:B6)</f>
        <v>174.57999999999998</v>
      </c>
      <c r="C7">
        <f>SUM(C3:C6)</f>
        <v>117.78000000000002</v>
      </c>
      <c r="D7">
        <f>SUM(B7:C7)</f>
        <v>292.36</v>
      </c>
    </row>
    <row r="10" spans="1:4" x14ac:dyDescent="0.2">
      <c r="A10" s="1" t="s">
        <v>10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24.6</v>
      </c>
      <c r="C12">
        <v>24.6</v>
      </c>
    </row>
    <row r="13" spans="1:4" x14ac:dyDescent="0.2">
      <c r="A13" t="s">
        <v>5</v>
      </c>
      <c r="B13">
        <v>18.600000000000001</v>
      </c>
      <c r="C13">
        <v>18.600000000000001</v>
      </c>
    </row>
    <row r="14" spans="1:4" x14ac:dyDescent="0.2">
      <c r="A14" t="s">
        <v>6</v>
      </c>
      <c r="B14">
        <v>32.880000000000003</v>
      </c>
      <c r="C14">
        <v>32.880000000000003</v>
      </c>
    </row>
    <row r="15" spans="1:4" x14ac:dyDescent="0.2">
      <c r="B15">
        <f>SUM(B11:B14)</f>
        <v>175.48</v>
      </c>
      <c r="C15">
        <f>SUM(C11:C14)</f>
        <v>118.68</v>
      </c>
      <c r="D15">
        <f>SUM(B15:C15)</f>
        <v>294.15999999999997</v>
      </c>
    </row>
    <row r="17" spans="1:4" x14ac:dyDescent="0.2">
      <c r="A17" s="1" t="s">
        <v>11</v>
      </c>
      <c r="B17" t="s">
        <v>9</v>
      </c>
      <c r="C17" t="s">
        <v>2</v>
      </c>
      <c r="D17" t="s">
        <v>7</v>
      </c>
    </row>
    <row r="18" spans="1:4" x14ac:dyDescent="0.2">
      <c r="A18" t="s">
        <v>3</v>
      </c>
      <c r="B18">
        <v>99.4</v>
      </c>
      <c r="C18">
        <v>42.6</v>
      </c>
    </row>
    <row r="19" spans="1:4" x14ac:dyDescent="0.2">
      <c r="A19" t="s">
        <v>4</v>
      </c>
      <c r="B19">
        <v>24.6</v>
      </c>
      <c r="C19">
        <v>24.6</v>
      </c>
    </row>
    <row r="20" spans="1:4" x14ac:dyDescent="0.2">
      <c r="A20" t="s">
        <v>5</v>
      </c>
      <c r="B20">
        <v>18.600000000000001</v>
      </c>
      <c r="C20">
        <v>18.600000000000001</v>
      </c>
    </row>
    <row r="21" spans="1:4" x14ac:dyDescent="0.2">
      <c r="A21" t="s">
        <v>6</v>
      </c>
      <c r="B21">
        <v>31.98</v>
      </c>
      <c r="C21">
        <v>31.98</v>
      </c>
    </row>
    <row r="22" spans="1:4" x14ac:dyDescent="0.2">
      <c r="B22">
        <f>SUM(B18:B21)</f>
        <v>174.57999999999998</v>
      </c>
      <c r="C22">
        <f>SUM(C18:C21)</f>
        <v>117.78000000000002</v>
      </c>
      <c r="D22">
        <f>SUM(B22:C22)</f>
        <v>292.36</v>
      </c>
    </row>
    <row r="24" spans="1:4" x14ac:dyDescent="0.2">
      <c r="A24" s="3" t="s">
        <v>12</v>
      </c>
      <c r="D24" s="3">
        <f>D7+D15+D22</f>
        <v>878.88</v>
      </c>
    </row>
  </sheetData>
  <phoneticPr fontId="2" type="noConversion"/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A6AD-66CE-402F-991A-C91B57CD01C8}">
  <dimension ref="A1:E38"/>
  <sheetViews>
    <sheetView view="pageBreakPreview" zoomScale="60" zoomScaleNormal="100" workbookViewId="0">
      <selection activeCell="F20" sqref="F2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13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 s="2">
        <v>124.25</v>
      </c>
      <c r="C3">
        <v>53.25</v>
      </c>
    </row>
    <row r="4" spans="1:4" x14ac:dyDescent="0.2">
      <c r="A4" t="s">
        <v>4</v>
      </c>
      <c r="B4">
        <v>24.6</v>
      </c>
      <c r="C4">
        <v>24.6</v>
      </c>
    </row>
    <row r="5" spans="1:4" x14ac:dyDescent="0.2">
      <c r="A5" t="s">
        <v>5</v>
      </c>
      <c r="B5">
        <v>18.600000000000001</v>
      </c>
      <c r="C5">
        <v>18.600000000000001</v>
      </c>
    </row>
    <row r="6" spans="1:4" x14ac:dyDescent="0.2">
      <c r="A6" t="s">
        <v>6</v>
      </c>
      <c r="B6">
        <v>32.380000000000003</v>
      </c>
      <c r="C6">
        <v>32.380000000000003</v>
      </c>
    </row>
    <row r="7" spans="1:4" x14ac:dyDescent="0.2">
      <c r="B7">
        <f>SUM(B3:B6)</f>
        <v>199.82999999999998</v>
      </c>
      <c r="C7">
        <f>SUM(C3:C6)</f>
        <v>128.82999999999998</v>
      </c>
      <c r="D7">
        <f>SUM(B7:C7)</f>
        <v>328.65999999999997</v>
      </c>
    </row>
    <row r="10" spans="1:4" x14ac:dyDescent="0.2">
      <c r="A10" s="1" t="s">
        <v>14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24.6</v>
      </c>
      <c r="C12">
        <v>24.6</v>
      </c>
    </row>
    <row r="13" spans="1:4" x14ac:dyDescent="0.2">
      <c r="A13" t="s">
        <v>5</v>
      </c>
      <c r="B13">
        <v>18.600000000000001</v>
      </c>
      <c r="C13">
        <v>18.600000000000001</v>
      </c>
    </row>
    <row r="14" spans="1:4" x14ac:dyDescent="0.2">
      <c r="A14" t="s">
        <v>6</v>
      </c>
      <c r="B14">
        <v>31.98</v>
      </c>
      <c r="C14">
        <v>31.98</v>
      </c>
    </row>
    <row r="15" spans="1:4" x14ac:dyDescent="0.2">
      <c r="B15">
        <f>SUM(B11:B14)</f>
        <v>174.57999999999998</v>
      </c>
      <c r="C15">
        <f>SUM(C11:C14)</f>
        <v>117.78000000000002</v>
      </c>
      <c r="D15">
        <f>SUM(B15:C15)</f>
        <v>292.36</v>
      </c>
    </row>
    <row r="17" spans="1:5" x14ac:dyDescent="0.2">
      <c r="A17" s="5" t="s">
        <v>15</v>
      </c>
      <c r="B17" s="6" t="s">
        <v>9</v>
      </c>
      <c r="C17" s="6" t="s">
        <v>2</v>
      </c>
      <c r="D17" s="6" t="s">
        <v>7</v>
      </c>
      <c r="E17" s="4" t="s">
        <v>17</v>
      </c>
    </row>
    <row r="18" spans="1:5" x14ac:dyDescent="0.2">
      <c r="A18" t="s">
        <v>3</v>
      </c>
      <c r="B18">
        <v>54.46</v>
      </c>
      <c r="C18">
        <v>23.24</v>
      </c>
    </row>
    <row r="19" spans="1:5" x14ac:dyDescent="0.2">
      <c r="A19" t="s">
        <v>4</v>
      </c>
      <c r="B19">
        <v>17.829999999999998</v>
      </c>
      <c r="C19">
        <v>17.829999999999998</v>
      </c>
    </row>
    <row r="20" spans="1:5" x14ac:dyDescent="0.2">
      <c r="A20" t="s">
        <v>5</v>
      </c>
      <c r="B20">
        <v>17.47</v>
      </c>
      <c r="C20">
        <v>17.47</v>
      </c>
    </row>
    <row r="21" spans="1:5" x14ac:dyDescent="0.2">
      <c r="A21" t="s">
        <v>6</v>
      </c>
      <c r="B21">
        <v>16.79</v>
      </c>
      <c r="C21">
        <v>16.79</v>
      </c>
    </row>
    <row r="22" spans="1:5" x14ac:dyDescent="0.2">
      <c r="B22">
        <f>SUM(B18:B21)</f>
        <v>106.54999999999998</v>
      </c>
      <c r="C22">
        <f>SUM(C18:C21)</f>
        <v>75.329999999999984</v>
      </c>
      <c r="D22">
        <f>SUM(B22:C22)</f>
        <v>181.87999999999997</v>
      </c>
    </row>
    <row r="24" spans="1:5" x14ac:dyDescent="0.2">
      <c r="A24" s="1" t="s">
        <v>18</v>
      </c>
      <c r="B24" t="s">
        <v>9</v>
      </c>
      <c r="C24" t="s">
        <v>2</v>
      </c>
      <c r="D24" t="s">
        <v>7</v>
      </c>
    </row>
    <row r="25" spans="1:5" x14ac:dyDescent="0.2">
      <c r="A25" t="s">
        <v>3</v>
      </c>
      <c r="B25">
        <v>99.4</v>
      </c>
      <c r="C25">
        <v>42.6</v>
      </c>
    </row>
    <row r="26" spans="1:5" x14ac:dyDescent="0.2">
      <c r="A26" t="s">
        <v>4</v>
      </c>
      <c r="B26">
        <v>24.6</v>
      </c>
      <c r="C26">
        <v>24.6</v>
      </c>
    </row>
    <row r="27" spans="1:5" x14ac:dyDescent="0.2">
      <c r="A27" t="s">
        <v>5</v>
      </c>
      <c r="B27">
        <v>18.600000000000001</v>
      </c>
      <c r="C27">
        <v>18.600000000000001</v>
      </c>
    </row>
    <row r="28" spans="1:5" x14ac:dyDescent="0.2">
      <c r="A28" t="s">
        <v>6</v>
      </c>
      <c r="B28">
        <v>31.98</v>
      </c>
      <c r="C28">
        <v>31.98</v>
      </c>
    </row>
    <row r="29" spans="1:5" x14ac:dyDescent="0.2">
      <c r="B29">
        <f>SUM(B25:B28)</f>
        <v>174.57999999999998</v>
      </c>
      <c r="C29">
        <f>SUM(C25:C28)</f>
        <v>117.78000000000002</v>
      </c>
      <c r="D29">
        <f>SUM(B29:C29)</f>
        <v>292.36</v>
      </c>
    </row>
    <row r="31" spans="1:5" x14ac:dyDescent="0.2">
      <c r="A31" s="1" t="s">
        <v>19</v>
      </c>
      <c r="B31" t="s">
        <v>9</v>
      </c>
      <c r="C31" t="s">
        <v>2</v>
      </c>
      <c r="D31" t="s">
        <v>7</v>
      </c>
    </row>
    <row r="32" spans="1:5" x14ac:dyDescent="0.2">
      <c r="A32" t="s">
        <v>3</v>
      </c>
      <c r="B32">
        <v>99.4</v>
      </c>
      <c r="C32">
        <v>42.6</v>
      </c>
    </row>
    <row r="33" spans="1:4" x14ac:dyDescent="0.2">
      <c r="A33" t="s">
        <v>4</v>
      </c>
      <c r="B33">
        <v>24.6</v>
      </c>
      <c r="C33">
        <v>24.6</v>
      </c>
    </row>
    <row r="34" spans="1:4" x14ac:dyDescent="0.2">
      <c r="A34" t="s">
        <v>5</v>
      </c>
      <c r="B34">
        <v>18.600000000000001</v>
      </c>
      <c r="C34">
        <v>18.600000000000001</v>
      </c>
    </row>
    <row r="35" spans="1:4" x14ac:dyDescent="0.2">
      <c r="A35" t="s">
        <v>6</v>
      </c>
      <c r="B35">
        <v>31.98</v>
      </c>
      <c r="C35">
        <v>31.98</v>
      </c>
    </row>
    <row r="36" spans="1:4" x14ac:dyDescent="0.2">
      <c r="B36">
        <f>SUM(B32:B35)</f>
        <v>174.57999999999998</v>
      </c>
      <c r="C36">
        <f>SUM(C32:C35)</f>
        <v>117.78000000000002</v>
      </c>
      <c r="D36">
        <f>SUM(B36:C36)</f>
        <v>292.36</v>
      </c>
    </row>
    <row r="38" spans="1:4" x14ac:dyDescent="0.2">
      <c r="A38" s="3" t="s">
        <v>16</v>
      </c>
      <c r="D38" s="3">
        <f>D7+D15+D22+D29+D36</f>
        <v>1387.62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FF05-CB39-41D7-B250-1D0C44AF0818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77AA-E168-40CB-A303-6D348E571227}">
  <dimension ref="A1:D32"/>
  <sheetViews>
    <sheetView view="pageBreakPreview" zoomScaleNormal="100" workbookViewId="0">
      <selection activeCell="A33" sqref="A33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20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 s="2">
        <v>99.4</v>
      </c>
      <c r="C3">
        <v>42.6</v>
      </c>
    </row>
    <row r="4" spans="1:4" x14ac:dyDescent="0.2">
      <c r="A4" t="s">
        <v>4</v>
      </c>
      <c r="B4">
        <v>24.6</v>
      </c>
      <c r="C4">
        <v>24.6</v>
      </c>
    </row>
    <row r="5" spans="1:4" x14ac:dyDescent="0.2">
      <c r="A5" t="s">
        <v>5</v>
      </c>
      <c r="B5">
        <v>18.600000000000001</v>
      </c>
      <c r="C5">
        <v>18.600000000000001</v>
      </c>
    </row>
    <row r="6" spans="1:4" x14ac:dyDescent="0.2">
      <c r="A6" t="s">
        <v>6</v>
      </c>
      <c r="B6">
        <v>31.98</v>
      </c>
      <c r="C6">
        <v>31.98</v>
      </c>
    </row>
    <row r="7" spans="1:4" x14ac:dyDescent="0.2">
      <c r="B7">
        <f>SUM(B3:B6)</f>
        <v>174.57999999999998</v>
      </c>
      <c r="C7">
        <f>SUM(C3:C6)</f>
        <v>117.78000000000002</v>
      </c>
      <c r="D7">
        <f>SUM(B7:C7)</f>
        <v>292.36</v>
      </c>
    </row>
    <row r="10" spans="1:4" x14ac:dyDescent="0.2">
      <c r="A10" s="1" t="s">
        <v>21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24.6</v>
      </c>
      <c r="C12">
        <v>24.6</v>
      </c>
    </row>
    <row r="13" spans="1:4" x14ac:dyDescent="0.2">
      <c r="A13" t="s">
        <v>5</v>
      </c>
      <c r="B13">
        <v>18.600000000000001</v>
      </c>
      <c r="C13">
        <v>18.600000000000001</v>
      </c>
    </row>
    <row r="14" spans="1:4" x14ac:dyDescent="0.2">
      <c r="A14" t="s">
        <v>6</v>
      </c>
      <c r="B14">
        <v>31.98</v>
      </c>
      <c r="C14">
        <v>31.98</v>
      </c>
    </row>
    <row r="15" spans="1:4" x14ac:dyDescent="0.2">
      <c r="B15">
        <f>SUM(B11:B14)</f>
        <v>174.57999999999998</v>
      </c>
      <c r="C15">
        <f>SUM(C11:C14)</f>
        <v>117.78000000000002</v>
      </c>
      <c r="D15">
        <f>SUM(B15:C15)</f>
        <v>292.36</v>
      </c>
    </row>
    <row r="18" spans="1:4" x14ac:dyDescent="0.2">
      <c r="A18" s="1" t="s">
        <v>22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24.6</v>
      </c>
      <c r="C20">
        <v>24.6</v>
      </c>
    </row>
    <row r="21" spans="1:4" x14ac:dyDescent="0.2">
      <c r="A21" t="s">
        <v>5</v>
      </c>
      <c r="B21">
        <v>18.600000000000001</v>
      </c>
      <c r="C21">
        <v>18.600000000000001</v>
      </c>
    </row>
    <row r="22" spans="1:4" x14ac:dyDescent="0.2">
      <c r="A22" t="s">
        <v>6</v>
      </c>
      <c r="B22">
        <v>31.98</v>
      </c>
      <c r="C22">
        <v>31.98</v>
      </c>
    </row>
    <row r="23" spans="1:4" x14ac:dyDescent="0.2">
      <c r="B23">
        <f>SUM(B19:B22)</f>
        <v>174.57999999999998</v>
      </c>
      <c r="C23">
        <f>SUM(C19:C22)</f>
        <v>117.78000000000002</v>
      </c>
      <c r="D23">
        <f>SUM(B23:C23)</f>
        <v>292.36</v>
      </c>
    </row>
    <row r="25" spans="1:4" x14ac:dyDescent="0.2">
      <c r="A25" s="1" t="s">
        <v>23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24.6</v>
      </c>
      <c r="C27">
        <v>24.6</v>
      </c>
    </row>
    <row r="28" spans="1:4" x14ac:dyDescent="0.2">
      <c r="A28" t="s">
        <v>5</v>
      </c>
      <c r="B28">
        <v>18.600000000000001</v>
      </c>
      <c r="C28">
        <v>18.600000000000001</v>
      </c>
    </row>
    <row r="29" spans="1:4" x14ac:dyDescent="0.2">
      <c r="A29" t="s">
        <v>6</v>
      </c>
      <c r="B29">
        <v>31.98</v>
      </c>
      <c r="C29">
        <v>31.98</v>
      </c>
    </row>
    <row r="30" spans="1:4" x14ac:dyDescent="0.2">
      <c r="B30">
        <f>SUM(B26:B29)</f>
        <v>174.57999999999998</v>
      </c>
      <c r="C30">
        <f>SUM(C26:C29)</f>
        <v>117.78000000000002</v>
      </c>
      <c r="D30">
        <f>SUM(B30:C30)</f>
        <v>292.36</v>
      </c>
    </row>
    <row r="32" spans="1:4" x14ac:dyDescent="0.2">
      <c r="A32" s="3" t="s">
        <v>24</v>
      </c>
      <c r="D32" s="3">
        <f>D7+D15+D23+D30</f>
        <v>1169.44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F6B8-8059-41E6-B0D0-E6E1595FBD60}">
  <dimension ref="A1:D32"/>
  <sheetViews>
    <sheetView view="pageBreakPreview" zoomScaleNormal="100" workbookViewId="0">
      <selection activeCell="D32" sqref="D32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25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 s="2">
        <v>99.4</v>
      </c>
      <c r="C3">
        <v>42.6</v>
      </c>
    </row>
    <row r="4" spans="1:4" x14ac:dyDescent="0.2">
      <c r="A4" t="s">
        <v>4</v>
      </c>
      <c r="B4">
        <v>24.6</v>
      </c>
      <c r="C4">
        <v>24.6</v>
      </c>
    </row>
    <row r="5" spans="1:4" x14ac:dyDescent="0.2">
      <c r="A5" t="s">
        <v>5</v>
      </c>
      <c r="B5">
        <v>18.600000000000001</v>
      </c>
      <c r="C5">
        <v>18.600000000000001</v>
      </c>
    </row>
    <row r="6" spans="1:4" x14ac:dyDescent="0.2">
      <c r="A6" t="s">
        <v>6</v>
      </c>
      <c r="B6">
        <v>31.98</v>
      </c>
      <c r="C6">
        <v>31.98</v>
      </c>
    </row>
    <row r="7" spans="1:4" x14ac:dyDescent="0.2">
      <c r="B7">
        <f>SUM(B3:B6)</f>
        <v>174.57999999999998</v>
      </c>
      <c r="C7">
        <f>SUM(C3:C6)</f>
        <v>117.78000000000002</v>
      </c>
      <c r="D7">
        <f>SUM(B7:C7)</f>
        <v>292.36</v>
      </c>
    </row>
    <row r="10" spans="1:4" x14ac:dyDescent="0.2">
      <c r="A10" s="1" t="s">
        <v>26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24.6</v>
      </c>
      <c r="C12">
        <v>24.6</v>
      </c>
    </row>
    <row r="13" spans="1:4" x14ac:dyDescent="0.2">
      <c r="A13" t="s">
        <v>5</v>
      </c>
      <c r="B13">
        <v>18.600000000000001</v>
      </c>
      <c r="C13">
        <v>18.600000000000001</v>
      </c>
    </row>
    <row r="14" spans="1:4" x14ac:dyDescent="0.2">
      <c r="A14" t="s">
        <v>6</v>
      </c>
      <c r="B14">
        <v>31.98</v>
      </c>
      <c r="C14">
        <v>31.98</v>
      </c>
    </row>
    <row r="15" spans="1:4" x14ac:dyDescent="0.2">
      <c r="B15">
        <f>SUM(B11:B14)</f>
        <v>174.57999999999998</v>
      </c>
      <c r="C15">
        <f>SUM(C11:C14)</f>
        <v>117.78000000000002</v>
      </c>
      <c r="D15">
        <f>SUM(B15:C15)</f>
        <v>292.36</v>
      </c>
    </row>
    <row r="18" spans="1:4" x14ac:dyDescent="0.2">
      <c r="A18" s="1" t="s">
        <v>27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24.6</v>
      </c>
      <c r="C20">
        <v>24.6</v>
      </c>
    </row>
    <row r="21" spans="1:4" x14ac:dyDescent="0.2">
      <c r="A21" t="s">
        <v>5</v>
      </c>
      <c r="B21">
        <v>18.600000000000001</v>
      </c>
      <c r="C21">
        <v>18.600000000000001</v>
      </c>
    </row>
    <row r="22" spans="1:4" x14ac:dyDescent="0.2">
      <c r="A22" t="s">
        <v>6</v>
      </c>
      <c r="B22">
        <v>31.98</v>
      </c>
      <c r="C22">
        <v>31.98</v>
      </c>
    </row>
    <row r="23" spans="1:4" x14ac:dyDescent="0.2">
      <c r="B23">
        <f>SUM(B19:B22)</f>
        <v>174.57999999999998</v>
      </c>
      <c r="C23">
        <f>SUM(C19:C22)</f>
        <v>117.78000000000002</v>
      </c>
      <c r="D23">
        <f>SUM(B23:C23)</f>
        <v>292.36</v>
      </c>
    </row>
    <row r="25" spans="1:4" x14ac:dyDescent="0.2">
      <c r="A25" s="1" t="s">
        <v>29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119.28</v>
      </c>
      <c r="C26">
        <v>51.12</v>
      </c>
    </row>
    <row r="27" spans="1:4" x14ac:dyDescent="0.2">
      <c r="A27" t="s">
        <v>4</v>
      </c>
      <c r="B27">
        <v>24.6</v>
      </c>
      <c r="C27">
        <v>24.6</v>
      </c>
    </row>
    <row r="28" spans="1:4" x14ac:dyDescent="0.2">
      <c r="A28" t="s">
        <v>5</v>
      </c>
      <c r="B28">
        <v>18.600000000000001</v>
      </c>
      <c r="C28">
        <v>18.600000000000001</v>
      </c>
    </row>
    <row r="29" spans="1:4" x14ac:dyDescent="0.2">
      <c r="A29" t="s">
        <v>6</v>
      </c>
      <c r="B29">
        <v>31.98</v>
      </c>
      <c r="C29">
        <v>31.98</v>
      </c>
    </row>
    <row r="30" spans="1:4" x14ac:dyDescent="0.2">
      <c r="B30">
        <f>SUM(B26:B29)</f>
        <v>194.45999999999998</v>
      </c>
      <c r="C30">
        <f>SUM(C26:C29)</f>
        <v>126.3</v>
      </c>
      <c r="D30">
        <f>SUM(B30:C30)</f>
        <v>320.76</v>
      </c>
    </row>
    <row r="32" spans="1:4" x14ac:dyDescent="0.2">
      <c r="A32" s="3" t="s">
        <v>28</v>
      </c>
      <c r="D32" s="3">
        <f>D7+D15+D23+D30</f>
        <v>1197.8400000000001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FB92-84E1-49D6-A544-CBF7AB8693E1}">
  <dimension ref="A1:D32"/>
  <sheetViews>
    <sheetView view="pageBreakPreview" zoomScaleNormal="100" workbookViewId="0">
      <selection activeCell="D20" sqref="D2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33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 s="2">
        <v>99.4</v>
      </c>
      <c r="C3">
        <v>42.6</v>
      </c>
    </row>
    <row r="4" spans="1:4" x14ac:dyDescent="0.2">
      <c r="A4" t="s">
        <v>4</v>
      </c>
      <c r="B4">
        <v>24.6</v>
      </c>
      <c r="C4">
        <v>24.6</v>
      </c>
    </row>
    <row r="5" spans="1:4" x14ac:dyDescent="0.2">
      <c r="A5" t="s">
        <v>5</v>
      </c>
      <c r="B5">
        <v>18.600000000000001</v>
      </c>
      <c r="C5">
        <v>18.600000000000001</v>
      </c>
    </row>
    <row r="6" spans="1:4" x14ac:dyDescent="0.2">
      <c r="A6" t="s">
        <v>6</v>
      </c>
      <c r="B6">
        <v>31.98</v>
      </c>
      <c r="C6">
        <v>31.98</v>
      </c>
    </row>
    <row r="7" spans="1:4" x14ac:dyDescent="0.2">
      <c r="B7">
        <f>SUM(B3:B6)</f>
        <v>174.57999999999998</v>
      </c>
      <c r="C7">
        <f>SUM(C3:C6)</f>
        <v>117.78000000000002</v>
      </c>
      <c r="D7">
        <f>SUM(B7:C7)</f>
        <v>292.36</v>
      </c>
    </row>
    <row r="10" spans="1:4" x14ac:dyDescent="0.2">
      <c r="A10" s="1" t="s">
        <v>30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24.6</v>
      </c>
      <c r="C12">
        <v>24.6</v>
      </c>
    </row>
    <row r="13" spans="1:4" x14ac:dyDescent="0.2">
      <c r="A13" t="s">
        <v>5</v>
      </c>
      <c r="B13">
        <v>18.600000000000001</v>
      </c>
      <c r="C13">
        <v>18.600000000000001</v>
      </c>
    </row>
    <row r="14" spans="1:4" x14ac:dyDescent="0.2">
      <c r="A14" t="s">
        <v>6</v>
      </c>
      <c r="B14">
        <v>31.98</v>
      </c>
      <c r="C14">
        <v>31.98</v>
      </c>
    </row>
    <row r="15" spans="1:4" x14ac:dyDescent="0.2">
      <c r="B15">
        <f>SUM(B11:B14)</f>
        <v>174.57999999999998</v>
      </c>
      <c r="C15">
        <f>SUM(C11:C14)</f>
        <v>117.78000000000002</v>
      </c>
      <c r="D15">
        <f>SUM(B15:C15)</f>
        <v>292.36</v>
      </c>
    </row>
    <row r="18" spans="1:4" x14ac:dyDescent="0.2">
      <c r="A18" s="1" t="s">
        <v>31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24.6</v>
      </c>
      <c r="C20">
        <v>24.6</v>
      </c>
    </row>
    <row r="21" spans="1:4" x14ac:dyDescent="0.2">
      <c r="A21" t="s">
        <v>5</v>
      </c>
      <c r="B21">
        <v>18.600000000000001</v>
      </c>
      <c r="C21">
        <v>18.600000000000001</v>
      </c>
    </row>
    <row r="22" spans="1:4" x14ac:dyDescent="0.2">
      <c r="A22" t="s">
        <v>6</v>
      </c>
      <c r="B22">
        <v>31.98</v>
      </c>
      <c r="C22">
        <v>31.98</v>
      </c>
    </row>
    <row r="23" spans="1:4" x14ac:dyDescent="0.2">
      <c r="B23">
        <f>SUM(B19:B22)</f>
        <v>174.57999999999998</v>
      </c>
      <c r="C23">
        <f>SUM(C19:C22)</f>
        <v>117.78000000000002</v>
      </c>
      <c r="D23">
        <f>SUM(B23:C23)</f>
        <v>292.36</v>
      </c>
    </row>
    <row r="25" spans="1:4" x14ac:dyDescent="0.2">
      <c r="A25" s="1" t="s">
        <v>32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51.12</v>
      </c>
    </row>
    <row r="27" spans="1:4" x14ac:dyDescent="0.2">
      <c r="A27" t="s">
        <v>4</v>
      </c>
      <c r="B27">
        <v>24.6</v>
      </c>
      <c r="C27">
        <v>24.6</v>
      </c>
    </row>
    <row r="28" spans="1:4" x14ac:dyDescent="0.2">
      <c r="A28" t="s">
        <v>5</v>
      </c>
      <c r="B28">
        <v>18.600000000000001</v>
      </c>
      <c r="C28">
        <v>18.600000000000001</v>
      </c>
    </row>
    <row r="29" spans="1:4" x14ac:dyDescent="0.2">
      <c r="A29" t="s">
        <v>6</v>
      </c>
      <c r="B29">
        <v>31.98</v>
      </c>
      <c r="C29">
        <v>31.98</v>
      </c>
    </row>
    <row r="30" spans="1:4" x14ac:dyDescent="0.2">
      <c r="B30">
        <f>SUM(B26:B29)</f>
        <v>174.57999999999998</v>
      </c>
      <c r="C30">
        <f>SUM(C26:C29)</f>
        <v>126.3</v>
      </c>
      <c r="D30">
        <f>SUM(B30:C30)</f>
        <v>300.88</v>
      </c>
    </row>
    <row r="32" spans="1:4" x14ac:dyDescent="0.2">
      <c r="A32" s="3" t="s">
        <v>34</v>
      </c>
      <c r="D32" s="3">
        <f>D7+D15+D23+D30</f>
        <v>1177.96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72EF-494A-41B5-8D50-305943E5CBDD}">
  <dimension ref="A1:D32"/>
  <sheetViews>
    <sheetView view="pageBreakPreview" zoomScaleNormal="100" workbookViewId="0">
      <selection activeCell="C27" sqref="C27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36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 s="2">
        <v>99.4</v>
      </c>
      <c r="C3">
        <v>42.6</v>
      </c>
    </row>
    <row r="4" spans="1:4" x14ac:dyDescent="0.2">
      <c r="A4" t="s">
        <v>4</v>
      </c>
      <c r="B4">
        <v>24.6</v>
      </c>
      <c r="C4">
        <v>24.6</v>
      </c>
    </row>
    <row r="5" spans="1:4" x14ac:dyDescent="0.2">
      <c r="A5" t="s">
        <v>5</v>
      </c>
      <c r="B5">
        <v>18.600000000000001</v>
      </c>
      <c r="C5">
        <v>18.600000000000001</v>
      </c>
    </row>
    <row r="6" spans="1:4" x14ac:dyDescent="0.2">
      <c r="A6" t="s">
        <v>6</v>
      </c>
      <c r="B6">
        <v>31.98</v>
      </c>
      <c r="C6">
        <v>31.98</v>
      </c>
    </row>
    <row r="7" spans="1:4" x14ac:dyDescent="0.2">
      <c r="B7">
        <f>SUM(B3:B6)</f>
        <v>174.57999999999998</v>
      </c>
      <c r="C7">
        <f>SUM(C3:C6)</f>
        <v>117.78000000000002</v>
      </c>
      <c r="D7">
        <f>SUM(B7:C7)</f>
        <v>292.36</v>
      </c>
    </row>
    <row r="10" spans="1:4" x14ac:dyDescent="0.2">
      <c r="A10" s="1" t="s">
        <v>37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24.6</v>
      </c>
      <c r="C12">
        <v>24.6</v>
      </c>
    </row>
    <row r="13" spans="1:4" x14ac:dyDescent="0.2">
      <c r="A13" t="s">
        <v>5</v>
      </c>
      <c r="B13">
        <v>18.600000000000001</v>
      </c>
      <c r="C13">
        <v>18.600000000000001</v>
      </c>
    </row>
    <row r="14" spans="1:4" x14ac:dyDescent="0.2">
      <c r="A14" t="s">
        <v>6</v>
      </c>
      <c r="B14">
        <v>31.98</v>
      </c>
      <c r="C14">
        <v>31.98</v>
      </c>
    </row>
    <row r="15" spans="1:4" x14ac:dyDescent="0.2">
      <c r="B15">
        <f>SUM(B11:B14)</f>
        <v>174.57999999999998</v>
      </c>
      <c r="C15">
        <f>SUM(C11:C14)</f>
        <v>117.78000000000002</v>
      </c>
      <c r="D15">
        <f>SUM(B15:C15)</f>
        <v>292.36</v>
      </c>
    </row>
    <row r="18" spans="1:4" x14ac:dyDescent="0.2">
      <c r="A18" s="1" t="s">
        <v>38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24.6</v>
      </c>
      <c r="C20">
        <v>24.6</v>
      </c>
    </row>
    <row r="21" spans="1:4" x14ac:dyDescent="0.2">
      <c r="A21" t="s">
        <v>5</v>
      </c>
      <c r="B21">
        <v>18.600000000000001</v>
      </c>
      <c r="C21">
        <v>18.600000000000001</v>
      </c>
    </row>
    <row r="22" spans="1:4" x14ac:dyDescent="0.2">
      <c r="A22" t="s">
        <v>6</v>
      </c>
      <c r="B22">
        <v>31.98</v>
      </c>
      <c r="C22">
        <v>31.98</v>
      </c>
    </row>
    <row r="23" spans="1:4" x14ac:dyDescent="0.2">
      <c r="B23">
        <f>SUM(B19:B22)</f>
        <v>174.57999999999998</v>
      </c>
      <c r="C23">
        <f>SUM(C19:C22)</f>
        <v>117.78000000000002</v>
      </c>
      <c r="D23">
        <f>SUM(B23:C23)</f>
        <v>292.36</v>
      </c>
    </row>
    <row r="25" spans="1:4" x14ac:dyDescent="0.2">
      <c r="A25" s="1" t="s">
        <v>39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24.6</v>
      </c>
      <c r="C27">
        <v>24.6</v>
      </c>
    </row>
    <row r="28" spans="1:4" x14ac:dyDescent="0.2">
      <c r="A28" t="s">
        <v>5</v>
      </c>
      <c r="B28">
        <v>18.600000000000001</v>
      </c>
      <c r="C28">
        <v>18.600000000000001</v>
      </c>
    </row>
    <row r="29" spans="1:4" x14ac:dyDescent="0.2">
      <c r="A29" t="s">
        <v>6</v>
      </c>
      <c r="B29">
        <v>31.98</v>
      </c>
      <c r="C29">
        <v>31.98</v>
      </c>
    </row>
    <row r="30" spans="1:4" x14ac:dyDescent="0.2">
      <c r="B30">
        <f>SUM(B26:B29)</f>
        <v>174.57999999999998</v>
      </c>
      <c r="C30">
        <f>SUM(C26:C29)</f>
        <v>117.78000000000002</v>
      </c>
      <c r="D30">
        <f>SUM(B30:C30)</f>
        <v>292.36</v>
      </c>
    </row>
    <row r="32" spans="1:4" x14ac:dyDescent="0.2">
      <c r="A32" s="3" t="s">
        <v>35</v>
      </c>
      <c r="D32" s="3">
        <f>D7+D15+D23+D30</f>
        <v>1169.44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04D9-5675-48AC-A6F5-14A5566E94A2}">
  <dimension ref="A1:D32"/>
  <sheetViews>
    <sheetView view="pageBreakPreview" topLeftCell="A7" zoomScaleNormal="100" workbookViewId="0">
      <selection activeCell="A5" sqref="A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40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 s="2">
        <v>99.4</v>
      </c>
      <c r="C3">
        <v>42.6</v>
      </c>
    </row>
    <row r="4" spans="1:4" x14ac:dyDescent="0.2">
      <c r="A4" t="s">
        <v>4</v>
      </c>
      <c r="B4">
        <v>24.6</v>
      </c>
      <c r="C4">
        <v>24.6</v>
      </c>
    </row>
    <row r="5" spans="1:4" x14ac:dyDescent="0.2">
      <c r="A5" t="s">
        <v>5</v>
      </c>
      <c r="B5">
        <v>18.600000000000001</v>
      </c>
      <c r="C5">
        <v>18.600000000000001</v>
      </c>
    </row>
    <row r="6" spans="1:4" x14ac:dyDescent="0.2">
      <c r="A6" t="s">
        <v>6</v>
      </c>
      <c r="B6">
        <v>31.98</v>
      </c>
      <c r="C6">
        <v>31.98</v>
      </c>
    </row>
    <row r="7" spans="1:4" x14ac:dyDescent="0.2">
      <c r="B7">
        <f>SUM(B3:B6)</f>
        <v>174.57999999999998</v>
      </c>
      <c r="C7">
        <f>SUM(C3:C6)</f>
        <v>117.78000000000002</v>
      </c>
      <c r="D7">
        <f>SUM(B7:C7)</f>
        <v>292.36</v>
      </c>
    </row>
    <row r="10" spans="1:4" x14ac:dyDescent="0.2">
      <c r="A10" s="1" t="s">
        <v>41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24.6</v>
      </c>
      <c r="C12">
        <v>24.6</v>
      </c>
    </row>
    <row r="13" spans="1:4" x14ac:dyDescent="0.2">
      <c r="A13" t="s">
        <v>5</v>
      </c>
      <c r="B13">
        <v>18.600000000000001</v>
      </c>
      <c r="C13">
        <v>18.600000000000001</v>
      </c>
    </row>
    <row r="14" spans="1:4" x14ac:dyDescent="0.2">
      <c r="A14" t="s">
        <v>6</v>
      </c>
      <c r="B14">
        <v>31.98</v>
      </c>
      <c r="C14">
        <v>31.98</v>
      </c>
    </row>
    <row r="15" spans="1:4" x14ac:dyDescent="0.2">
      <c r="B15">
        <f>SUM(B11:B14)</f>
        <v>174.57999999999998</v>
      </c>
      <c r="C15">
        <f>SUM(C11:C14)</f>
        <v>117.78000000000002</v>
      </c>
      <c r="D15">
        <f>SUM(B15:C15)</f>
        <v>292.36</v>
      </c>
    </row>
    <row r="18" spans="1:4" x14ac:dyDescent="0.2">
      <c r="A18" s="1" t="s">
        <v>42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24.6</v>
      </c>
      <c r="C20">
        <v>24.6</v>
      </c>
    </row>
    <row r="21" spans="1:4" x14ac:dyDescent="0.2">
      <c r="A21" t="s">
        <v>5</v>
      </c>
      <c r="B21">
        <v>11.63</v>
      </c>
      <c r="C21">
        <v>18.600000000000001</v>
      </c>
    </row>
    <row r="22" spans="1:4" x14ac:dyDescent="0.2">
      <c r="A22" t="s">
        <v>6</v>
      </c>
      <c r="B22">
        <v>31.98</v>
      </c>
      <c r="C22">
        <v>31.98</v>
      </c>
    </row>
    <row r="23" spans="1:4" x14ac:dyDescent="0.2">
      <c r="B23">
        <f>SUM(B19:B22)</f>
        <v>167.60999999999999</v>
      </c>
      <c r="C23">
        <f>SUM(C19:C22)</f>
        <v>117.78000000000002</v>
      </c>
      <c r="D23">
        <f>SUM(B23:C23)</f>
        <v>285.39</v>
      </c>
    </row>
    <row r="25" spans="1:4" x14ac:dyDescent="0.2">
      <c r="A25" s="1" t="s">
        <v>43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24.6</v>
      </c>
      <c r="C27">
        <v>24.6</v>
      </c>
    </row>
    <row r="28" spans="1:4" x14ac:dyDescent="0.2">
      <c r="A28" t="s">
        <v>5</v>
      </c>
      <c r="B28">
        <v>19.3</v>
      </c>
      <c r="C28">
        <v>18.600000000000001</v>
      </c>
    </row>
    <row r="29" spans="1:4" x14ac:dyDescent="0.2">
      <c r="A29" t="s">
        <v>6</v>
      </c>
      <c r="B29">
        <v>31.98</v>
      </c>
      <c r="C29">
        <v>31.98</v>
      </c>
    </row>
    <row r="30" spans="1:4" x14ac:dyDescent="0.2">
      <c r="B30">
        <f>SUM(B26:B29)</f>
        <v>175.28</v>
      </c>
      <c r="C30">
        <f>SUM(C26:C29)</f>
        <v>117.78000000000002</v>
      </c>
      <c r="D30">
        <f>SUM(B30:C30)</f>
        <v>293.06</v>
      </c>
    </row>
    <row r="32" spans="1:4" x14ac:dyDescent="0.2">
      <c r="A32" s="3" t="s">
        <v>44</v>
      </c>
      <c r="D32" s="3">
        <f>D7+D15+D23+D30</f>
        <v>1163.17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35CB-9CDC-4015-B87F-1B4158B9266B}">
  <dimension ref="A1:D38"/>
  <sheetViews>
    <sheetView view="pageBreakPreview" topLeftCell="A10" zoomScaleNormal="100" workbookViewId="0">
      <selection activeCell="D39" sqref="D3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47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 s="2">
        <v>99.4</v>
      </c>
      <c r="C3">
        <v>42.6</v>
      </c>
    </row>
    <row r="4" spans="1:4" x14ac:dyDescent="0.2">
      <c r="A4" t="s">
        <v>4</v>
      </c>
      <c r="B4">
        <v>24.6</v>
      </c>
      <c r="C4">
        <v>24.6</v>
      </c>
    </row>
    <row r="5" spans="1:4" x14ac:dyDescent="0.2">
      <c r="A5" t="s">
        <v>5</v>
      </c>
      <c r="B5">
        <v>18.600000000000001</v>
      </c>
      <c r="C5">
        <v>18.600000000000001</v>
      </c>
    </row>
    <row r="6" spans="1:4" x14ac:dyDescent="0.2">
      <c r="A6" t="s">
        <v>6</v>
      </c>
      <c r="B6">
        <v>31.98</v>
      </c>
      <c r="C6">
        <v>31.98</v>
      </c>
    </row>
    <row r="7" spans="1:4" x14ac:dyDescent="0.2">
      <c r="B7">
        <f>SUM(B3:B6)</f>
        <v>174.57999999999998</v>
      </c>
      <c r="C7">
        <f>SUM(C3:C6)</f>
        <v>117.78000000000002</v>
      </c>
      <c r="D7">
        <f>SUM(B7:C7)</f>
        <v>292.36</v>
      </c>
    </row>
    <row r="10" spans="1:4" x14ac:dyDescent="0.2">
      <c r="A10" s="1" t="s">
        <v>48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20.6</v>
      </c>
      <c r="C12">
        <v>24.6</v>
      </c>
    </row>
    <row r="13" spans="1:4" x14ac:dyDescent="0.2">
      <c r="A13" t="s">
        <v>5</v>
      </c>
      <c r="B13">
        <v>18.02</v>
      </c>
      <c r="C13">
        <v>18.600000000000001</v>
      </c>
    </row>
    <row r="14" spans="1:4" x14ac:dyDescent="0.2">
      <c r="A14" t="s">
        <v>6</v>
      </c>
      <c r="B14">
        <v>31.98</v>
      </c>
      <c r="C14">
        <v>31.98</v>
      </c>
    </row>
    <row r="15" spans="1:4" x14ac:dyDescent="0.2">
      <c r="B15">
        <f>SUM(B11:B14)</f>
        <v>170</v>
      </c>
      <c r="C15">
        <f>SUM(C11:C14)</f>
        <v>117.78000000000002</v>
      </c>
      <c r="D15">
        <f>SUM(B15:C15)</f>
        <v>287.78000000000003</v>
      </c>
    </row>
    <row r="17" spans="1:4" x14ac:dyDescent="0.2">
      <c r="A17" s="1" t="s">
        <v>52</v>
      </c>
      <c r="B17" t="s">
        <v>9</v>
      </c>
      <c r="C17" t="s">
        <v>2</v>
      </c>
      <c r="D17" t="s">
        <v>7</v>
      </c>
    </row>
    <row r="18" spans="1:4" x14ac:dyDescent="0.2">
      <c r="A18" t="s">
        <v>3</v>
      </c>
      <c r="B18">
        <v>99.4</v>
      </c>
      <c r="C18">
        <v>42.6</v>
      </c>
    </row>
    <row r="19" spans="1:4" x14ac:dyDescent="0.2">
      <c r="A19" t="s">
        <v>4</v>
      </c>
      <c r="B19">
        <v>24.6</v>
      </c>
      <c r="C19">
        <v>24.6</v>
      </c>
    </row>
    <row r="20" spans="1:4" x14ac:dyDescent="0.2">
      <c r="A20" t="s">
        <v>5</v>
      </c>
      <c r="B20">
        <v>19.07</v>
      </c>
      <c r="C20">
        <v>19.07</v>
      </c>
    </row>
    <row r="21" spans="1:4" x14ac:dyDescent="0.2">
      <c r="A21" t="s">
        <v>6</v>
      </c>
      <c r="B21">
        <v>31.98</v>
      </c>
      <c r="C21">
        <v>31.98</v>
      </c>
    </row>
    <row r="22" spans="1:4" x14ac:dyDescent="0.2">
      <c r="B22">
        <f>SUM(B18:B21)</f>
        <v>175.04999999999998</v>
      </c>
      <c r="C22">
        <f>SUM(C18:C21)</f>
        <v>118.25000000000001</v>
      </c>
      <c r="D22">
        <f>SUM(B22:C22)</f>
        <v>293.3</v>
      </c>
    </row>
    <row r="24" spans="1:4" x14ac:dyDescent="0.2">
      <c r="A24" s="1" t="s">
        <v>49</v>
      </c>
      <c r="B24" t="s">
        <v>9</v>
      </c>
      <c r="C24" t="s">
        <v>2</v>
      </c>
      <c r="D24" t="s">
        <v>7</v>
      </c>
    </row>
    <row r="25" spans="1:4" x14ac:dyDescent="0.2">
      <c r="A25" t="s">
        <v>3</v>
      </c>
      <c r="B25">
        <v>99.4</v>
      </c>
      <c r="C25">
        <v>42.6</v>
      </c>
    </row>
    <row r="26" spans="1:4" x14ac:dyDescent="0.2">
      <c r="A26" t="s">
        <v>4</v>
      </c>
      <c r="B26">
        <v>20.6</v>
      </c>
      <c r="C26">
        <v>20.6</v>
      </c>
    </row>
    <row r="27" spans="1:4" x14ac:dyDescent="0.2">
      <c r="A27" t="s">
        <v>5</v>
      </c>
      <c r="B27">
        <v>18.02</v>
      </c>
      <c r="C27">
        <v>18.02</v>
      </c>
    </row>
    <row r="28" spans="1:4" x14ac:dyDescent="0.2">
      <c r="A28" t="s">
        <v>6</v>
      </c>
      <c r="B28">
        <v>31.98</v>
      </c>
      <c r="C28">
        <v>31.98</v>
      </c>
    </row>
    <row r="29" spans="1:4" x14ac:dyDescent="0.2">
      <c r="B29">
        <f>SUM(B25:B28)</f>
        <v>170</v>
      </c>
      <c r="C29">
        <f>SUM(C25:C28)</f>
        <v>113.2</v>
      </c>
      <c r="D29">
        <f>SUM(B29:C29)</f>
        <v>283.2</v>
      </c>
    </row>
    <row r="31" spans="1:4" x14ac:dyDescent="0.2">
      <c r="A31" s="1" t="s">
        <v>50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  <c r="B32">
        <v>99.4</v>
      </c>
      <c r="C32">
        <v>42.6</v>
      </c>
    </row>
    <row r="33" spans="1:4" x14ac:dyDescent="0.2">
      <c r="A33" t="s">
        <v>4</v>
      </c>
      <c r="B33">
        <v>19.68</v>
      </c>
      <c r="C33">
        <v>19.68</v>
      </c>
    </row>
    <row r="34" spans="1:4" x14ac:dyDescent="0.2">
      <c r="A34" t="s">
        <v>5</v>
      </c>
      <c r="B34">
        <v>18.600000000000001</v>
      </c>
      <c r="C34">
        <v>18.600000000000001</v>
      </c>
    </row>
    <row r="35" spans="1:4" x14ac:dyDescent="0.2">
      <c r="A35" t="s">
        <v>6</v>
      </c>
      <c r="B35">
        <v>31.98</v>
      </c>
      <c r="C35">
        <v>31.98</v>
      </c>
    </row>
    <row r="36" spans="1:4" x14ac:dyDescent="0.2">
      <c r="B36">
        <f>SUM(B32:B35)</f>
        <v>169.66</v>
      </c>
      <c r="C36">
        <f>SUM(C32:C35)</f>
        <v>112.86</v>
      </c>
      <c r="D36">
        <f>SUM(B36:C36)</f>
        <v>282.52</v>
      </c>
    </row>
    <row r="38" spans="1:4" x14ac:dyDescent="0.2">
      <c r="A38" s="3" t="s">
        <v>46</v>
      </c>
      <c r="D38" s="3">
        <f>D7+D15+D29+D36+D22</f>
        <v>1439.16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B93B-3D58-4605-BAF8-3E89BBC7C5F2}">
  <dimension ref="A1:D32"/>
  <sheetViews>
    <sheetView view="pageBreakPreview" zoomScaleNormal="100" workbookViewId="0">
      <selection activeCell="D7" sqref="D7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53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99.4</v>
      </c>
      <c r="C3">
        <v>42.6</v>
      </c>
    </row>
    <row r="4" spans="1:4" x14ac:dyDescent="0.2">
      <c r="A4" t="s">
        <v>4</v>
      </c>
      <c r="B4">
        <v>19.68</v>
      </c>
      <c r="C4">
        <v>19.68</v>
      </c>
    </row>
    <row r="5" spans="1:4" x14ac:dyDescent="0.2">
      <c r="A5" t="s">
        <v>5</v>
      </c>
      <c r="B5">
        <v>18.600000000000001</v>
      </c>
      <c r="C5">
        <v>18.600000000000001</v>
      </c>
    </row>
    <row r="6" spans="1:4" x14ac:dyDescent="0.2">
      <c r="A6" t="s">
        <v>6</v>
      </c>
      <c r="B6">
        <v>31.98</v>
      </c>
      <c r="C6">
        <v>31.98</v>
      </c>
    </row>
    <row r="7" spans="1:4" x14ac:dyDescent="0.2">
      <c r="B7">
        <f>SUM(B3:B6)</f>
        <v>169.66</v>
      </c>
      <c r="C7">
        <f>SUM(C3:C6)</f>
        <v>112.86</v>
      </c>
      <c r="D7">
        <f>SUM(B7:C7)</f>
        <v>282.52</v>
      </c>
    </row>
    <row r="10" spans="1:4" x14ac:dyDescent="0.2">
      <c r="A10" s="1" t="s">
        <v>54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19.68</v>
      </c>
      <c r="C12">
        <v>19.68</v>
      </c>
    </row>
    <row r="13" spans="1:4" x14ac:dyDescent="0.2">
      <c r="A13" t="s">
        <v>5</v>
      </c>
      <c r="B13">
        <v>18.600000000000001</v>
      </c>
      <c r="C13">
        <v>18.600000000000001</v>
      </c>
    </row>
    <row r="14" spans="1:4" x14ac:dyDescent="0.2">
      <c r="A14" t="s">
        <v>6</v>
      </c>
      <c r="B14">
        <v>31.98</v>
      </c>
      <c r="C14">
        <v>31.98</v>
      </c>
    </row>
    <row r="15" spans="1:4" x14ac:dyDescent="0.2">
      <c r="B15">
        <f>SUM(B11:B14)</f>
        <v>169.66</v>
      </c>
      <c r="C15">
        <f>SUM(C11:C14)</f>
        <v>112.86</v>
      </c>
      <c r="D15">
        <f>SUM(B15:C15)</f>
        <v>282.52</v>
      </c>
    </row>
    <row r="18" spans="1:4" x14ac:dyDescent="0.2">
      <c r="A18" s="1" t="s">
        <v>55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9.23</v>
      </c>
      <c r="C20">
        <v>9.23</v>
      </c>
    </row>
    <row r="21" spans="1:4" x14ac:dyDescent="0.2">
      <c r="A21" t="s">
        <v>5</v>
      </c>
      <c r="B21">
        <v>18.14</v>
      </c>
      <c r="C21">
        <v>18.14</v>
      </c>
    </row>
    <row r="22" spans="1:4" x14ac:dyDescent="0.2">
      <c r="A22" t="s">
        <v>6</v>
      </c>
      <c r="B22">
        <v>31.98</v>
      </c>
      <c r="C22">
        <v>31.98</v>
      </c>
    </row>
    <row r="23" spans="1:4" x14ac:dyDescent="0.2">
      <c r="B23">
        <f>SUM(B19:B22)</f>
        <v>158.75</v>
      </c>
      <c r="C23">
        <f>SUM(C19:C22)</f>
        <v>101.95</v>
      </c>
      <c r="D23">
        <f>SUM(B23:C23)</f>
        <v>260.7</v>
      </c>
    </row>
    <row r="25" spans="1:4" x14ac:dyDescent="0.2">
      <c r="A25" s="1" t="s">
        <v>56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</row>
    <row r="28" spans="1:4" x14ac:dyDescent="0.2">
      <c r="A28" t="s">
        <v>5</v>
      </c>
      <c r="B28">
        <v>20.399999999999999</v>
      </c>
      <c r="C28">
        <v>20.399999999999999</v>
      </c>
    </row>
    <row r="29" spans="1:4" x14ac:dyDescent="0.2">
      <c r="A29" t="s">
        <v>6</v>
      </c>
      <c r="B29">
        <v>33.18</v>
      </c>
      <c r="C29">
        <v>33.18</v>
      </c>
    </row>
    <row r="30" spans="1:4" x14ac:dyDescent="0.2">
      <c r="B30">
        <f>SUM(B26:B29)</f>
        <v>152.98000000000002</v>
      </c>
      <c r="C30">
        <f>SUM(C26:C29)</f>
        <v>96.18</v>
      </c>
      <c r="D30">
        <f>SUM(B30:C30)</f>
        <v>249.16000000000003</v>
      </c>
    </row>
    <row r="32" spans="1:4" x14ac:dyDescent="0.2">
      <c r="A32" s="3" t="s">
        <v>51</v>
      </c>
      <c r="D32" s="3">
        <f>D7+D15+D23+D30</f>
        <v>1074.9000000000001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7384-3D4B-45C0-8A7E-1D092CCE6436}">
  <dimension ref="A1:D32"/>
  <sheetViews>
    <sheetView view="pageBreakPreview" zoomScaleNormal="100" workbookViewId="0">
      <selection activeCell="D31" sqref="D31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45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99.4</v>
      </c>
      <c r="C3">
        <v>42.6</v>
      </c>
    </row>
    <row r="4" spans="1:4" x14ac:dyDescent="0.2">
      <c r="A4" t="s">
        <v>4</v>
      </c>
    </row>
    <row r="5" spans="1:4" x14ac:dyDescent="0.2">
      <c r="A5" t="s">
        <v>5</v>
      </c>
      <c r="B5">
        <v>20.399999999999999</v>
      </c>
      <c r="C5">
        <v>20.399999999999999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249.16000000000003</v>
      </c>
    </row>
    <row r="10" spans="1:4" x14ac:dyDescent="0.2">
      <c r="A10" s="1" t="s">
        <v>57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</row>
    <row r="13" spans="1:4" x14ac:dyDescent="0.2">
      <c r="A13" t="s">
        <v>5</v>
      </c>
      <c r="B13">
        <v>20.399999999999999</v>
      </c>
      <c r="C13">
        <v>20.399999999999999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249.16000000000003</v>
      </c>
    </row>
    <row r="18" spans="1:4" x14ac:dyDescent="0.2">
      <c r="A18" s="1" t="s">
        <v>45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</row>
    <row r="21" spans="1:4" x14ac:dyDescent="0.2">
      <c r="A21" t="s">
        <v>5</v>
      </c>
      <c r="B21">
        <v>20.399999999999999</v>
      </c>
      <c r="C21">
        <v>20.399999999999999</v>
      </c>
    </row>
    <row r="22" spans="1:4" x14ac:dyDescent="0.2">
      <c r="A22" t="s">
        <v>6</v>
      </c>
      <c r="B22">
        <v>33.18</v>
      </c>
      <c r="C22">
        <v>33.18</v>
      </c>
    </row>
    <row r="23" spans="1:4" x14ac:dyDescent="0.2">
      <c r="D23">
        <f>SUM(B19:C22)</f>
        <v>249.16000000000003</v>
      </c>
    </row>
    <row r="25" spans="1:4" x14ac:dyDescent="0.2">
      <c r="A25" s="1" t="s">
        <v>58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</row>
    <row r="28" spans="1:4" x14ac:dyDescent="0.2">
      <c r="A28" t="s">
        <v>5</v>
      </c>
      <c r="B28">
        <v>20.399999999999999</v>
      </c>
      <c r="C28">
        <v>20.399999999999999</v>
      </c>
    </row>
    <row r="29" spans="1:4" x14ac:dyDescent="0.2">
      <c r="A29" t="s">
        <v>6</v>
      </c>
      <c r="B29">
        <v>33.18</v>
      </c>
      <c r="C29">
        <v>33.18</v>
      </c>
    </row>
    <row r="30" spans="1:4" x14ac:dyDescent="0.2">
      <c r="D30">
        <f>SUM(B26:C29)</f>
        <v>249.16000000000003</v>
      </c>
    </row>
    <row r="32" spans="1:4" x14ac:dyDescent="0.2">
      <c r="A32" s="3" t="s">
        <v>59</v>
      </c>
      <c r="D32" s="3">
        <f>D7+D15+D23+D30</f>
        <v>996.6400000000001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2A5C-84DD-458D-B730-FE72824486C0}">
  <dimension ref="A1:D32"/>
  <sheetViews>
    <sheetView view="pageBreakPreview" zoomScaleNormal="100" workbookViewId="0">
      <selection activeCell="D27" sqref="D27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61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124.25</v>
      </c>
      <c r="C3">
        <v>53.25</v>
      </c>
    </row>
    <row r="4" spans="1:4" x14ac:dyDescent="0.2">
      <c r="A4" t="s">
        <v>4</v>
      </c>
      <c r="B4">
        <v>18.27</v>
      </c>
      <c r="C4">
        <v>18.27</v>
      </c>
    </row>
    <row r="5" spans="1:4" x14ac:dyDescent="0.2">
      <c r="A5" t="s">
        <v>5</v>
      </c>
      <c r="B5">
        <v>16.829999999999998</v>
      </c>
      <c r="C5">
        <v>16.829999999999998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314.06</v>
      </c>
    </row>
    <row r="10" spans="1:4" x14ac:dyDescent="0.2">
      <c r="A10" s="1" t="s">
        <v>62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23.49</v>
      </c>
      <c r="C12">
        <v>23.49</v>
      </c>
    </row>
    <row r="13" spans="1:4" x14ac:dyDescent="0.2">
      <c r="A13" t="s">
        <v>5</v>
      </c>
      <c r="B13">
        <v>20.399999999999999</v>
      </c>
      <c r="C13">
        <v>20.399999999999999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296.14000000000004</v>
      </c>
    </row>
    <row r="18" spans="1:4" x14ac:dyDescent="0.2">
      <c r="A18" s="1" t="s">
        <v>63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21.21</v>
      </c>
      <c r="C20">
        <v>21.21</v>
      </c>
    </row>
    <row r="21" spans="1:4" x14ac:dyDescent="0.2">
      <c r="A21" t="s">
        <v>5</v>
      </c>
      <c r="B21">
        <v>19.64</v>
      </c>
      <c r="C21">
        <v>19.64</v>
      </c>
    </row>
    <row r="22" spans="1:4" x14ac:dyDescent="0.2">
      <c r="A22" t="s">
        <v>6</v>
      </c>
      <c r="B22">
        <v>33.18</v>
      </c>
      <c r="C22">
        <v>33.18</v>
      </c>
    </row>
    <row r="23" spans="1:4" x14ac:dyDescent="0.2">
      <c r="D23">
        <f>SUM(B19:C22)</f>
        <v>290.06</v>
      </c>
    </row>
    <row r="25" spans="1:4" x14ac:dyDescent="0.2">
      <c r="A25" s="1" t="s">
        <v>64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23.49</v>
      </c>
      <c r="C27">
        <v>23.49</v>
      </c>
    </row>
    <row r="28" spans="1:4" x14ac:dyDescent="0.2">
      <c r="A28" t="s">
        <v>5</v>
      </c>
      <c r="B28">
        <v>19.89</v>
      </c>
      <c r="C28">
        <v>19.89</v>
      </c>
    </row>
    <row r="29" spans="1:4" x14ac:dyDescent="0.2">
      <c r="A29" t="s">
        <v>6</v>
      </c>
      <c r="B29">
        <v>33.18</v>
      </c>
      <c r="C29">
        <v>33.18</v>
      </c>
    </row>
    <row r="30" spans="1:4" x14ac:dyDescent="0.2">
      <c r="D30">
        <f>SUM(B26:C29)</f>
        <v>295.12</v>
      </c>
    </row>
    <row r="32" spans="1:4" x14ac:dyDescent="0.2">
      <c r="A32" s="3" t="s">
        <v>60</v>
      </c>
      <c r="D32" s="3">
        <f>D7+D15+D23+D30</f>
        <v>1195.3800000000001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60FE-6E09-487F-8379-D1BC579CB87B}">
  <dimension ref="A1:D32"/>
  <sheetViews>
    <sheetView view="pageBreakPreview" zoomScaleNormal="100" workbookViewId="0">
      <selection activeCell="C29" sqref="C2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66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99.4</v>
      </c>
      <c r="C3">
        <v>42.6</v>
      </c>
    </row>
    <row r="4" spans="1:4" x14ac:dyDescent="0.2">
      <c r="A4" t="s">
        <v>4</v>
      </c>
      <c r="B4">
        <v>23.49</v>
      </c>
      <c r="C4">
        <v>23.49</v>
      </c>
    </row>
    <row r="5" spans="1:4" x14ac:dyDescent="0.2">
      <c r="A5" t="s">
        <v>5</v>
      </c>
      <c r="B5">
        <v>18.739999999999998</v>
      </c>
      <c r="C5">
        <v>18.739999999999998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292.82000000000005</v>
      </c>
    </row>
    <row r="10" spans="1:4" x14ac:dyDescent="0.2">
      <c r="A10" s="1" t="s">
        <v>67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124.25</v>
      </c>
      <c r="C11">
        <v>53.25</v>
      </c>
    </row>
    <row r="12" spans="1:4" x14ac:dyDescent="0.2">
      <c r="A12" t="s">
        <v>4</v>
      </c>
      <c r="B12">
        <v>23.49</v>
      </c>
      <c r="C12">
        <v>23.49</v>
      </c>
    </row>
    <row r="13" spans="1:4" x14ac:dyDescent="0.2">
      <c r="A13" t="s">
        <v>5</v>
      </c>
      <c r="B13">
        <v>20.399999999999999</v>
      </c>
      <c r="C13">
        <v>20.399999999999999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331.64000000000004</v>
      </c>
    </row>
    <row r="18" spans="1:4" x14ac:dyDescent="0.2">
      <c r="A18" s="1" t="s">
        <v>68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124.25</v>
      </c>
      <c r="C19">
        <v>53.25</v>
      </c>
    </row>
    <row r="20" spans="1:4" x14ac:dyDescent="0.2">
      <c r="A20" t="s">
        <v>4</v>
      </c>
      <c r="B20">
        <v>18.27</v>
      </c>
      <c r="C20">
        <v>18.27</v>
      </c>
    </row>
    <row r="21" spans="1:4" x14ac:dyDescent="0.2">
      <c r="A21" t="s">
        <v>5</v>
      </c>
      <c r="B21">
        <v>20.399999999999999</v>
      </c>
      <c r="C21">
        <v>20.399999999999999</v>
      </c>
    </row>
    <row r="22" spans="1:4" x14ac:dyDescent="0.2">
      <c r="A22" t="s">
        <v>6</v>
      </c>
      <c r="B22">
        <v>33.799999999999997</v>
      </c>
      <c r="C22">
        <v>33.799999999999997</v>
      </c>
    </row>
    <row r="23" spans="1:4" x14ac:dyDescent="0.2">
      <c r="D23">
        <f>SUM(B19:C22)</f>
        <v>322.44000000000005</v>
      </c>
    </row>
    <row r="25" spans="1:4" x14ac:dyDescent="0.2">
      <c r="A25" s="1" t="s">
        <v>69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23.49</v>
      </c>
      <c r="C27">
        <v>23.49</v>
      </c>
    </row>
    <row r="28" spans="1:4" x14ac:dyDescent="0.2">
      <c r="A28" t="s">
        <v>5</v>
      </c>
      <c r="B28">
        <v>20.399999999999999</v>
      </c>
      <c r="C28">
        <v>20.399999999999999</v>
      </c>
    </row>
    <row r="29" spans="1:4" x14ac:dyDescent="0.2">
      <c r="A29" t="s">
        <v>6</v>
      </c>
      <c r="B29">
        <v>33.18</v>
      </c>
      <c r="C29">
        <v>33.18</v>
      </c>
    </row>
    <row r="30" spans="1:4" x14ac:dyDescent="0.2">
      <c r="D30">
        <f>SUM(B26:C29)</f>
        <v>296.14000000000004</v>
      </c>
    </row>
    <row r="32" spans="1:4" x14ac:dyDescent="0.2">
      <c r="A32" s="3" t="s">
        <v>65</v>
      </c>
      <c r="D32" s="3">
        <f>D7+D15+D23+D30</f>
        <v>1243.0400000000002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C244-A910-4EEC-9768-E594687C1E3F}">
  <dimension ref="A1:D32"/>
  <sheetViews>
    <sheetView view="pageBreakPreview" zoomScaleNormal="100" workbookViewId="0">
      <selection activeCell="J20" sqref="J2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71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99.4</v>
      </c>
      <c r="C3">
        <v>42.6</v>
      </c>
    </row>
    <row r="4" spans="1:4" x14ac:dyDescent="0.2">
      <c r="A4" t="s">
        <v>4</v>
      </c>
      <c r="B4">
        <v>23.49</v>
      </c>
      <c r="C4">
        <v>23.49</v>
      </c>
    </row>
    <row r="5" spans="1:4" x14ac:dyDescent="0.2">
      <c r="A5" t="s">
        <v>5</v>
      </c>
      <c r="B5">
        <v>18.36</v>
      </c>
      <c r="C5">
        <v>18.36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292.06000000000006</v>
      </c>
    </row>
    <row r="10" spans="1:4" x14ac:dyDescent="0.2">
      <c r="A10" s="1" t="s">
        <v>72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124.25</v>
      </c>
      <c r="C11">
        <v>53.25</v>
      </c>
    </row>
    <row r="12" spans="1:4" x14ac:dyDescent="0.2">
      <c r="A12" t="s">
        <v>4</v>
      </c>
      <c r="B12">
        <v>18.239999999999998</v>
      </c>
      <c r="C12">
        <v>18.27</v>
      </c>
    </row>
    <row r="13" spans="1:4" x14ac:dyDescent="0.2">
      <c r="A13" t="s">
        <v>5</v>
      </c>
      <c r="B13">
        <v>20.399999999999999</v>
      </c>
      <c r="C13">
        <v>20.399999999999999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321.17</v>
      </c>
    </row>
    <row r="18" spans="1:4" x14ac:dyDescent="0.2">
      <c r="A18" s="1" t="s">
        <v>73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23.49</v>
      </c>
      <c r="C20">
        <v>23.49</v>
      </c>
    </row>
    <row r="21" spans="1:4" x14ac:dyDescent="0.2">
      <c r="A21" t="s">
        <v>5</v>
      </c>
      <c r="B21">
        <v>20.399999999999999</v>
      </c>
      <c r="C21">
        <v>20.399999999999999</v>
      </c>
    </row>
    <row r="22" spans="1:4" x14ac:dyDescent="0.2">
      <c r="A22" t="s">
        <v>6</v>
      </c>
      <c r="B22">
        <v>33.799999999999997</v>
      </c>
      <c r="C22">
        <v>33.799999999999997</v>
      </c>
    </row>
    <row r="23" spans="1:4" x14ac:dyDescent="0.2">
      <c r="D23">
        <f>SUM(B19:C22)</f>
        <v>297.38000000000005</v>
      </c>
    </row>
    <row r="25" spans="1:4" x14ac:dyDescent="0.2">
      <c r="A25" s="1" t="s">
        <v>74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23.49</v>
      </c>
      <c r="C27">
        <v>23.49</v>
      </c>
    </row>
    <row r="28" spans="1:4" x14ac:dyDescent="0.2">
      <c r="A28" t="s">
        <v>5</v>
      </c>
      <c r="B28">
        <v>20.399999999999999</v>
      </c>
      <c r="C28">
        <v>20.399999999999999</v>
      </c>
    </row>
    <row r="29" spans="1:4" x14ac:dyDescent="0.2">
      <c r="A29" t="s">
        <v>6</v>
      </c>
      <c r="B29">
        <v>33.18</v>
      </c>
      <c r="C29">
        <v>33.18</v>
      </c>
    </row>
    <row r="30" spans="1:4" x14ac:dyDescent="0.2">
      <c r="D30">
        <f>SUM(B26:C29)</f>
        <v>296.14000000000004</v>
      </c>
    </row>
    <row r="32" spans="1:4" x14ac:dyDescent="0.2">
      <c r="A32" s="3" t="s">
        <v>70</v>
      </c>
      <c r="D32" s="3">
        <f>D7+D15+D23+D30</f>
        <v>1206.7500000000002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CCED-131E-4530-8EDA-1D5C22367EFA}">
  <dimension ref="A1:D32"/>
  <sheetViews>
    <sheetView view="pageBreakPreview" zoomScaleNormal="100" workbookViewId="0">
      <selection activeCell="C29" sqref="C2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76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99.4</v>
      </c>
      <c r="C3">
        <v>42.6</v>
      </c>
    </row>
    <row r="4" spans="1:4" x14ac:dyDescent="0.2">
      <c r="A4" t="s">
        <v>4</v>
      </c>
      <c r="B4">
        <v>23.49</v>
      </c>
      <c r="C4">
        <v>23.49</v>
      </c>
    </row>
    <row r="5" spans="1:4" x14ac:dyDescent="0.2">
      <c r="A5" t="s">
        <v>5</v>
      </c>
      <c r="B5">
        <v>20.149999999999999</v>
      </c>
      <c r="C5">
        <v>20.149999999999999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295.64000000000004</v>
      </c>
    </row>
    <row r="10" spans="1:4" x14ac:dyDescent="0.2">
      <c r="A10" s="1" t="s">
        <v>77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23.49</v>
      </c>
      <c r="C12">
        <v>23.49</v>
      </c>
    </row>
    <row r="13" spans="1:4" x14ac:dyDescent="0.2">
      <c r="A13" t="s">
        <v>5</v>
      </c>
      <c r="B13">
        <v>20.27</v>
      </c>
      <c r="C13">
        <v>20.27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295.88000000000005</v>
      </c>
    </row>
    <row r="18" spans="1:4" x14ac:dyDescent="0.2">
      <c r="A18" s="1" t="s">
        <v>78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111.83</v>
      </c>
      <c r="C19">
        <v>47.93</v>
      </c>
    </row>
    <row r="20" spans="1:4" x14ac:dyDescent="0.2">
      <c r="A20" t="s">
        <v>4</v>
      </c>
      <c r="B20">
        <v>23.16</v>
      </c>
      <c r="C20">
        <v>23.49</v>
      </c>
    </row>
    <row r="21" spans="1:4" x14ac:dyDescent="0.2">
      <c r="A21" t="s">
        <v>5</v>
      </c>
      <c r="B21">
        <v>20.399999999999999</v>
      </c>
      <c r="C21">
        <v>20.399999999999999</v>
      </c>
    </row>
    <row r="22" spans="1:4" x14ac:dyDescent="0.2">
      <c r="A22" t="s">
        <v>6</v>
      </c>
      <c r="B22">
        <v>33.799999999999997</v>
      </c>
      <c r="C22">
        <v>33.799999999999997</v>
      </c>
    </row>
    <row r="23" spans="1:4" x14ac:dyDescent="0.2">
      <c r="D23">
        <f>SUM(B19:C22)</f>
        <v>314.81</v>
      </c>
    </row>
    <row r="25" spans="1:4" x14ac:dyDescent="0.2">
      <c r="A25" s="1" t="s">
        <v>74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111.83</v>
      </c>
      <c r="C26">
        <v>47.93</v>
      </c>
    </row>
    <row r="27" spans="1:4" x14ac:dyDescent="0.2">
      <c r="A27" t="s">
        <v>4</v>
      </c>
      <c r="B27">
        <v>22.19</v>
      </c>
      <c r="C27">
        <v>22.19</v>
      </c>
    </row>
    <row r="28" spans="1:4" x14ac:dyDescent="0.2">
      <c r="A28" t="s">
        <v>5</v>
      </c>
      <c r="B28">
        <v>19.38</v>
      </c>
      <c r="C28">
        <v>19.38</v>
      </c>
    </row>
    <row r="29" spans="1:4" x14ac:dyDescent="0.2">
      <c r="A29" t="s">
        <v>6</v>
      </c>
      <c r="B29">
        <v>33.18</v>
      </c>
      <c r="C29">
        <v>33.18</v>
      </c>
    </row>
    <row r="30" spans="1:4" x14ac:dyDescent="0.2">
      <c r="D30">
        <f>SUM(B26:C29)</f>
        <v>309.26</v>
      </c>
    </row>
    <row r="32" spans="1:4" x14ac:dyDescent="0.2">
      <c r="A32" s="3" t="s">
        <v>75</v>
      </c>
      <c r="D32" s="3">
        <f>D7+D15+D23+D30</f>
        <v>1215.5900000000001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7745-FD98-44E7-8FF9-6C55652599A3}">
  <dimension ref="A1:D32"/>
  <sheetViews>
    <sheetView view="pageBreakPreview" zoomScaleNormal="100" workbookViewId="0">
      <selection activeCell="C30" sqref="C3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80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99.4</v>
      </c>
      <c r="C3">
        <v>42.6</v>
      </c>
    </row>
    <row r="4" spans="1:4" x14ac:dyDescent="0.2">
      <c r="A4" t="s">
        <v>4</v>
      </c>
      <c r="B4">
        <v>22.51</v>
      </c>
      <c r="C4">
        <v>22.51</v>
      </c>
    </row>
    <row r="5" spans="1:4" x14ac:dyDescent="0.2">
      <c r="A5" t="s">
        <v>5</v>
      </c>
      <c r="B5">
        <v>18.36</v>
      </c>
      <c r="C5">
        <v>18.36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290.10000000000002</v>
      </c>
    </row>
    <row r="10" spans="1:4" x14ac:dyDescent="0.2">
      <c r="A10" s="1" t="s">
        <v>81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111.83</v>
      </c>
      <c r="C11">
        <v>47.93</v>
      </c>
    </row>
    <row r="12" spans="1:4" x14ac:dyDescent="0.2">
      <c r="A12" t="s">
        <v>4</v>
      </c>
      <c r="B12">
        <v>23.49</v>
      </c>
      <c r="C12">
        <v>23.49</v>
      </c>
    </row>
    <row r="13" spans="1:4" x14ac:dyDescent="0.2">
      <c r="A13" t="s">
        <v>5</v>
      </c>
      <c r="B13">
        <v>20.399999999999999</v>
      </c>
      <c r="C13">
        <v>20.399999999999999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313.90000000000003</v>
      </c>
    </row>
    <row r="18" spans="1:4" x14ac:dyDescent="0.2">
      <c r="A18" s="1" t="s">
        <v>82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23.16</v>
      </c>
      <c r="C20">
        <v>23.49</v>
      </c>
    </row>
    <row r="21" spans="1:4" x14ac:dyDescent="0.2">
      <c r="A21" t="s">
        <v>5</v>
      </c>
      <c r="B21">
        <v>20.399999999999999</v>
      </c>
      <c r="C21">
        <v>20.399999999999999</v>
      </c>
    </row>
    <row r="22" spans="1:4" x14ac:dyDescent="0.2">
      <c r="A22" t="s">
        <v>6</v>
      </c>
      <c r="B22">
        <v>33.18</v>
      </c>
      <c r="C22">
        <v>33.18</v>
      </c>
    </row>
    <row r="23" spans="1:4" x14ac:dyDescent="0.2">
      <c r="D23">
        <f>SUM(B19:C22)</f>
        <v>295.81</v>
      </c>
    </row>
    <row r="25" spans="1:4" x14ac:dyDescent="0.2">
      <c r="A25" s="1" t="s">
        <v>83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23.49</v>
      </c>
      <c r="C27">
        <v>23.49</v>
      </c>
    </row>
    <row r="28" spans="1:4" x14ac:dyDescent="0.2">
      <c r="A28" t="s">
        <v>5</v>
      </c>
      <c r="B28">
        <v>20.399999999999999</v>
      </c>
      <c r="C28">
        <v>20.399999999999999</v>
      </c>
    </row>
    <row r="29" spans="1:4" x14ac:dyDescent="0.2">
      <c r="A29" t="s">
        <v>6</v>
      </c>
      <c r="B29">
        <v>33.39</v>
      </c>
      <c r="C29">
        <v>33.39</v>
      </c>
    </row>
    <row r="30" spans="1:4" x14ac:dyDescent="0.2">
      <c r="D30">
        <f>SUM(B26:C29)</f>
        <v>296.56</v>
      </c>
    </row>
    <row r="32" spans="1:4" x14ac:dyDescent="0.2">
      <c r="A32" s="3" t="s">
        <v>79</v>
      </c>
      <c r="D32" s="3">
        <f>D7+D15+D23+D30</f>
        <v>1196.3699999999999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F225-5396-4646-9AAC-93830B238E07}">
  <dimension ref="A1:D32"/>
  <sheetViews>
    <sheetView view="pageBreakPreview" zoomScaleNormal="100" workbookViewId="0">
      <selection activeCell="C13" sqref="C13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84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124.25</v>
      </c>
      <c r="C3">
        <v>53.25</v>
      </c>
    </row>
    <row r="4" spans="1:4" x14ac:dyDescent="0.2">
      <c r="A4" t="s">
        <v>4</v>
      </c>
      <c r="B4">
        <v>23.49</v>
      </c>
      <c r="C4">
        <v>23.49</v>
      </c>
    </row>
    <row r="5" spans="1:4" x14ac:dyDescent="0.2">
      <c r="A5" t="s">
        <v>5</v>
      </c>
      <c r="B5">
        <v>20.399999999999999</v>
      </c>
      <c r="C5">
        <v>20.399999999999999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331.64000000000004</v>
      </c>
    </row>
    <row r="10" spans="1:4" x14ac:dyDescent="0.2">
      <c r="A10" s="1" t="s">
        <v>85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22.19</v>
      </c>
      <c r="C12">
        <v>22.19</v>
      </c>
    </row>
    <row r="13" spans="1:4" x14ac:dyDescent="0.2">
      <c r="A13" t="s">
        <v>5</v>
      </c>
      <c r="B13">
        <v>20.59</v>
      </c>
      <c r="C13">
        <v>20.59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293.92</v>
      </c>
    </row>
    <row r="18" spans="1:4" x14ac:dyDescent="0.2">
      <c r="A18" s="1" t="s">
        <v>86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23.49</v>
      </c>
      <c r="C20">
        <v>23.49</v>
      </c>
    </row>
    <row r="21" spans="1:4" x14ac:dyDescent="0.2">
      <c r="A21" t="s">
        <v>5</v>
      </c>
      <c r="B21">
        <v>18.36</v>
      </c>
      <c r="C21">
        <v>18.36</v>
      </c>
    </row>
    <row r="22" spans="1:4" x14ac:dyDescent="0.2">
      <c r="A22" t="s">
        <v>6</v>
      </c>
      <c r="B22">
        <v>33.18</v>
      </c>
      <c r="C22">
        <v>33.18</v>
      </c>
    </row>
    <row r="23" spans="1:4" x14ac:dyDescent="0.2">
      <c r="D23">
        <f>SUM(B19:C22)</f>
        <v>292.06000000000006</v>
      </c>
    </row>
    <row r="25" spans="1:4" x14ac:dyDescent="0.2">
      <c r="A25" s="1" t="s">
        <v>87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124.25</v>
      </c>
      <c r="C26">
        <v>53.25</v>
      </c>
    </row>
    <row r="27" spans="1:4" x14ac:dyDescent="0.2">
      <c r="A27" t="s">
        <v>4</v>
      </c>
      <c r="B27">
        <v>22.67</v>
      </c>
      <c r="C27">
        <v>22.67</v>
      </c>
    </row>
    <row r="28" spans="1:4" x14ac:dyDescent="0.2">
      <c r="A28" t="s">
        <v>5</v>
      </c>
      <c r="B28">
        <v>20.399999999999999</v>
      </c>
      <c r="C28">
        <v>20.399999999999999</v>
      </c>
    </row>
    <row r="29" spans="1:4" x14ac:dyDescent="0.2">
      <c r="A29" t="s">
        <v>6</v>
      </c>
      <c r="B29">
        <v>33.18</v>
      </c>
      <c r="C29">
        <v>33.18</v>
      </c>
    </row>
    <row r="30" spans="1:4" x14ac:dyDescent="0.2">
      <c r="D30">
        <f>SUM(B26:C29)</f>
        <v>330.00000000000006</v>
      </c>
    </row>
    <row r="32" spans="1:4" x14ac:dyDescent="0.2">
      <c r="A32" s="3" t="s">
        <v>88</v>
      </c>
      <c r="D32" s="3">
        <f>D7+D15+D23+D30</f>
        <v>1247.6200000000001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E43C-CC1D-47EA-8F63-247FB1478A0F}">
  <dimension ref="A1:D32"/>
  <sheetViews>
    <sheetView view="pageBreakPreview" zoomScaleNormal="100" workbookViewId="0">
      <selection activeCell="A26" sqref="A2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90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124.25</v>
      </c>
      <c r="C3">
        <v>53.25</v>
      </c>
    </row>
    <row r="4" spans="1:4" x14ac:dyDescent="0.2">
      <c r="A4" t="s">
        <v>4</v>
      </c>
      <c r="B4">
        <v>22.84</v>
      </c>
      <c r="C4">
        <v>22.84</v>
      </c>
    </row>
    <row r="5" spans="1:4" x14ac:dyDescent="0.2">
      <c r="A5" t="s">
        <v>5</v>
      </c>
      <c r="B5">
        <v>20.399999999999999</v>
      </c>
      <c r="C5">
        <v>20.399999999999999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330.34000000000003</v>
      </c>
    </row>
    <row r="10" spans="1:4" x14ac:dyDescent="0.2">
      <c r="A10" s="1" t="s">
        <v>91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23.49</v>
      </c>
      <c r="C12">
        <v>23.49</v>
      </c>
    </row>
    <row r="13" spans="1:4" x14ac:dyDescent="0.2">
      <c r="A13" t="s">
        <v>5</v>
      </c>
      <c r="B13">
        <v>20.399999999999999</v>
      </c>
      <c r="C13">
        <v>20.399999999999999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296.14000000000004</v>
      </c>
    </row>
    <row r="18" spans="1:4" x14ac:dyDescent="0.2">
      <c r="A18" s="1" t="s">
        <v>92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23.49</v>
      </c>
      <c r="C20">
        <v>23.49</v>
      </c>
    </row>
    <row r="21" spans="1:4" x14ac:dyDescent="0.2">
      <c r="A21" t="s">
        <v>5</v>
      </c>
      <c r="B21">
        <v>20.399999999999999</v>
      </c>
      <c r="C21">
        <v>20.399999999999999</v>
      </c>
    </row>
    <row r="22" spans="1:4" x14ac:dyDescent="0.2">
      <c r="A22" t="s">
        <v>6</v>
      </c>
      <c r="B22">
        <v>33.18</v>
      </c>
      <c r="C22">
        <v>33.18</v>
      </c>
    </row>
    <row r="23" spans="1:4" x14ac:dyDescent="0.2">
      <c r="D23">
        <f>SUM(B19:C22)</f>
        <v>296.14000000000004</v>
      </c>
    </row>
    <row r="25" spans="1:4" x14ac:dyDescent="0.2">
      <c r="A25" s="1" t="s">
        <v>93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23.16</v>
      </c>
      <c r="C27">
        <v>23.16</v>
      </c>
    </row>
    <row r="28" spans="1:4" x14ac:dyDescent="0.2">
      <c r="A28" t="s">
        <v>5</v>
      </c>
      <c r="B28">
        <v>20.399999999999999</v>
      </c>
      <c r="C28">
        <v>20.399999999999999</v>
      </c>
    </row>
    <row r="29" spans="1:4" x14ac:dyDescent="0.2">
      <c r="A29" t="s">
        <v>6</v>
      </c>
      <c r="B29">
        <v>32.97</v>
      </c>
      <c r="C29">
        <v>32.97</v>
      </c>
    </row>
    <row r="30" spans="1:4" x14ac:dyDescent="0.2">
      <c r="D30">
        <f>SUM(B26:C29)</f>
        <v>295.06000000000006</v>
      </c>
    </row>
    <row r="32" spans="1:4" x14ac:dyDescent="0.2">
      <c r="A32" s="3" t="s">
        <v>89</v>
      </c>
      <c r="D32" s="3">
        <f>D7+D15+D23+D30</f>
        <v>1217.6800000000003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14E4-7D2D-494B-B1E5-C434A047AA44}">
  <dimension ref="A1:D32"/>
  <sheetViews>
    <sheetView view="pageBreakPreview" zoomScaleNormal="100" workbookViewId="0">
      <selection activeCell="B29" sqref="B2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95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99.4</v>
      </c>
      <c r="C3">
        <v>42.6</v>
      </c>
    </row>
    <row r="4" spans="1:4" x14ac:dyDescent="0.2">
      <c r="A4" t="s">
        <v>4</v>
      </c>
      <c r="B4">
        <v>23.49</v>
      </c>
      <c r="C4">
        <v>23.49</v>
      </c>
    </row>
    <row r="5" spans="1:4" x14ac:dyDescent="0.2">
      <c r="A5" t="s">
        <v>5</v>
      </c>
      <c r="B5">
        <v>20.399999999999999</v>
      </c>
      <c r="C5">
        <v>20.399999999999999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296.14000000000004</v>
      </c>
    </row>
    <row r="10" spans="1:4" x14ac:dyDescent="0.2">
      <c r="A10" s="1" t="s">
        <v>96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124.25</v>
      </c>
      <c r="C11">
        <v>53.25</v>
      </c>
    </row>
    <row r="12" spans="1:4" x14ac:dyDescent="0.2">
      <c r="A12" t="s">
        <v>4</v>
      </c>
      <c r="B12">
        <v>23.49</v>
      </c>
      <c r="C12">
        <v>23.49</v>
      </c>
    </row>
    <row r="13" spans="1:4" x14ac:dyDescent="0.2">
      <c r="A13" t="s">
        <v>5</v>
      </c>
      <c r="B13">
        <v>20.399999999999999</v>
      </c>
      <c r="C13">
        <v>20.399999999999999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331.64000000000004</v>
      </c>
    </row>
    <row r="18" spans="1:4" x14ac:dyDescent="0.2">
      <c r="A18" s="1" t="s">
        <v>97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124.25</v>
      </c>
      <c r="C19">
        <v>53.25</v>
      </c>
    </row>
    <row r="20" spans="1:4" x14ac:dyDescent="0.2">
      <c r="A20" t="s">
        <v>4</v>
      </c>
      <c r="B20">
        <v>19.579999999999998</v>
      </c>
      <c r="C20">
        <v>19.579999999999998</v>
      </c>
    </row>
    <row r="21" spans="1:4" x14ac:dyDescent="0.2">
      <c r="A21" t="s">
        <v>5</v>
      </c>
      <c r="B21">
        <v>20.399999999999999</v>
      </c>
      <c r="C21">
        <v>20.399999999999999</v>
      </c>
    </row>
    <row r="22" spans="1:4" x14ac:dyDescent="0.2">
      <c r="A22" t="s">
        <v>6</v>
      </c>
      <c r="B22">
        <v>20.399999999999999</v>
      </c>
      <c r="C22">
        <v>20.399999999999999</v>
      </c>
    </row>
    <row r="23" spans="1:4" x14ac:dyDescent="0.2">
      <c r="D23">
        <f>SUM(B19:C22)</f>
        <v>298.25999999999993</v>
      </c>
    </row>
    <row r="25" spans="1:4" x14ac:dyDescent="0.2">
      <c r="A25" s="1" t="s">
        <v>98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23.49</v>
      </c>
      <c r="C27">
        <v>23.49</v>
      </c>
    </row>
    <row r="28" spans="1:4" x14ac:dyDescent="0.2">
      <c r="A28" t="s">
        <v>5</v>
      </c>
      <c r="B28">
        <v>20.399999999999999</v>
      </c>
      <c r="C28">
        <v>20.399999999999999</v>
      </c>
    </row>
    <row r="29" spans="1:4" x14ac:dyDescent="0.2">
      <c r="A29" t="s">
        <v>6</v>
      </c>
    </row>
    <row r="30" spans="1:4" x14ac:dyDescent="0.2">
      <c r="D30">
        <f>SUM(B26:C29)</f>
        <v>229.78000000000003</v>
      </c>
    </row>
    <row r="32" spans="1:4" x14ac:dyDescent="0.2">
      <c r="A32" s="3" t="s">
        <v>94</v>
      </c>
      <c r="D32" s="3">
        <f>D7+D15+D23+D30</f>
        <v>1155.82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B667-73EE-4F26-A34C-9CACB80F66D8}">
  <dimension ref="A1:D32"/>
  <sheetViews>
    <sheetView view="pageBreakPreview" topLeftCell="A7" zoomScaleNormal="100" workbookViewId="0">
      <selection activeCell="C31" sqref="C31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99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99.4</v>
      </c>
      <c r="C3">
        <v>42.6</v>
      </c>
    </row>
    <row r="4" spans="1:4" x14ac:dyDescent="0.2">
      <c r="A4" t="s">
        <v>4</v>
      </c>
      <c r="B4">
        <v>21.86</v>
      </c>
      <c r="C4">
        <v>21.86</v>
      </c>
    </row>
    <row r="5" spans="1:4" x14ac:dyDescent="0.2">
      <c r="A5" t="s">
        <v>5</v>
      </c>
      <c r="B5">
        <v>20.399999999999999</v>
      </c>
      <c r="C5">
        <v>20.399999999999999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292.88000000000005</v>
      </c>
    </row>
    <row r="10" spans="1:4" x14ac:dyDescent="0.2">
      <c r="A10" s="1" t="s">
        <v>100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23.49</v>
      </c>
      <c r="C12">
        <v>23.49</v>
      </c>
    </row>
    <row r="13" spans="1:4" x14ac:dyDescent="0.2">
      <c r="A13" t="s">
        <v>5</v>
      </c>
      <c r="B13">
        <v>20.399999999999999</v>
      </c>
      <c r="C13">
        <v>20.399999999999999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296.14000000000004</v>
      </c>
    </row>
    <row r="18" spans="1:4" x14ac:dyDescent="0.2">
      <c r="A18" s="1" t="s">
        <v>101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23.33</v>
      </c>
      <c r="C20">
        <v>23.33</v>
      </c>
    </row>
    <row r="21" spans="1:4" x14ac:dyDescent="0.2">
      <c r="A21" t="s">
        <v>5</v>
      </c>
      <c r="B21">
        <v>19.89</v>
      </c>
      <c r="C21">
        <v>19.89</v>
      </c>
    </row>
    <row r="22" spans="1:4" x14ac:dyDescent="0.2">
      <c r="A22" t="s">
        <v>6</v>
      </c>
      <c r="B22">
        <v>33.18</v>
      </c>
      <c r="C22">
        <v>33.18</v>
      </c>
    </row>
    <row r="23" spans="1:4" x14ac:dyDescent="0.2">
      <c r="D23">
        <f>SUM(B19:C22)</f>
        <v>294.79999999999995</v>
      </c>
    </row>
    <row r="25" spans="1:4" x14ac:dyDescent="0.2">
      <c r="A25" s="1" t="s">
        <v>102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124.25</v>
      </c>
      <c r="C26">
        <v>53.25</v>
      </c>
    </row>
    <row r="27" spans="1:4" x14ac:dyDescent="0.2">
      <c r="A27" t="s">
        <v>4</v>
      </c>
      <c r="B27">
        <v>23.49</v>
      </c>
      <c r="C27">
        <v>23.49</v>
      </c>
    </row>
    <row r="28" spans="1:4" x14ac:dyDescent="0.2">
      <c r="A28" t="s">
        <v>5</v>
      </c>
      <c r="B28">
        <v>20.399999999999999</v>
      </c>
      <c r="C28">
        <v>20.399999999999999</v>
      </c>
    </row>
    <row r="29" spans="1:4" x14ac:dyDescent="0.2">
      <c r="A29" t="s">
        <v>6</v>
      </c>
      <c r="B29">
        <v>33.18</v>
      </c>
      <c r="C29">
        <v>33.18</v>
      </c>
    </row>
    <row r="30" spans="1:4" x14ac:dyDescent="0.2">
      <c r="D30">
        <f>SUM(B26:C29)</f>
        <v>331.64000000000004</v>
      </c>
    </row>
    <row r="32" spans="1:4" x14ac:dyDescent="0.2">
      <c r="A32" s="3" t="s">
        <v>103</v>
      </c>
      <c r="D32" s="3">
        <f>D7+D15+D23+D30</f>
        <v>1215.46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7975-9062-4EEE-8265-76FE78D6C719}">
  <dimension ref="A1:D32"/>
  <sheetViews>
    <sheetView view="pageBreakPreview" zoomScaleNormal="100" workbookViewId="0">
      <selection activeCell="D28" sqref="D28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104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99.4</v>
      </c>
      <c r="C3">
        <v>42.6</v>
      </c>
    </row>
    <row r="4" spans="1:4" x14ac:dyDescent="0.2">
      <c r="A4" t="s">
        <v>4</v>
      </c>
      <c r="B4">
        <v>23.49</v>
      </c>
      <c r="C4">
        <v>23.49</v>
      </c>
    </row>
    <row r="5" spans="1:4" x14ac:dyDescent="0.2">
      <c r="A5" t="s">
        <v>5</v>
      </c>
      <c r="B5">
        <v>20.399999999999999</v>
      </c>
      <c r="C5">
        <v>20.399999999999999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296.14000000000004</v>
      </c>
    </row>
    <row r="10" spans="1:4" x14ac:dyDescent="0.2">
      <c r="A10" s="1" t="s">
        <v>105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99.4</v>
      </c>
      <c r="C11">
        <v>42.6</v>
      </c>
    </row>
    <row r="12" spans="1:4" x14ac:dyDescent="0.2">
      <c r="A12" t="s">
        <v>4</v>
      </c>
      <c r="B12">
        <v>23.49</v>
      </c>
      <c r="C12">
        <v>23.49</v>
      </c>
    </row>
    <row r="13" spans="1:4" x14ac:dyDescent="0.2">
      <c r="A13" t="s">
        <v>5</v>
      </c>
      <c r="B13">
        <v>20.399999999999999</v>
      </c>
      <c r="C13">
        <v>20.399999999999999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296.14000000000004</v>
      </c>
    </row>
    <row r="18" spans="1:4" x14ac:dyDescent="0.2">
      <c r="A18" s="1" t="s">
        <v>106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22.19</v>
      </c>
      <c r="C20">
        <v>22.19</v>
      </c>
    </row>
    <row r="21" spans="1:4" x14ac:dyDescent="0.2">
      <c r="A21" t="s">
        <v>5</v>
      </c>
      <c r="B21">
        <v>20.399999999999999</v>
      </c>
      <c r="C21">
        <v>20.399999999999999</v>
      </c>
    </row>
    <row r="22" spans="1:4" x14ac:dyDescent="0.2">
      <c r="A22" t="s">
        <v>6</v>
      </c>
      <c r="B22">
        <v>32.97</v>
      </c>
      <c r="C22">
        <v>32.97</v>
      </c>
    </row>
    <row r="23" spans="1:4" x14ac:dyDescent="0.2">
      <c r="D23">
        <f>SUM(B19:C22)</f>
        <v>293.12</v>
      </c>
    </row>
    <row r="25" spans="1:4" x14ac:dyDescent="0.2">
      <c r="A25" s="1" t="s">
        <v>107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23.49</v>
      </c>
      <c r="C27">
        <v>23.49</v>
      </c>
    </row>
    <row r="28" spans="1:4" x14ac:dyDescent="0.2">
      <c r="A28" t="s">
        <v>5</v>
      </c>
      <c r="B28">
        <v>20.399999999999999</v>
      </c>
      <c r="C28">
        <v>20.399999999999999</v>
      </c>
    </row>
    <row r="29" spans="1:4" x14ac:dyDescent="0.2">
      <c r="A29" t="s">
        <v>6</v>
      </c>
      <c r="B29">
        <v>33.18</v>
      </c>
      <c r="C29">
        <v>33.18</v>
      </c>
    </row>
    <row r="30" spans="1:4" x14ac:dyDescent="0.2">
      <c r="D30">
        <f>SUM(B26:C29)</f>
        <v>296.14000000000004</v>
      </c>
    </row>
    <row r="32" spans="1:4" x14ac:dyDescent="0.2">
      <c r="A32" s="3" t="s">
        <v>108</v>
      </c>
      <c r="D32" s="3">
        <f>D7+D15+D23+D30</f>
        <v>1181.5400000000002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C978-A290-438E-AB93-A36D57832739}">
  <dimension ref="A1:D32"/>
  <sheetViews>
    <sheetView view="pageBreakPreview" topLeftCell="A7" zoomScaleNormal="100" workbookViewId="0">
      <selection activeCell="C29" sqref="C2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110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99.4</v>
      </c>
      <c r="C3">
        <v>42.6</v>
      </c>
    </row>
    <row r="4" spans="1:4" x14ac:dyDescent="0.2">
      <c r="A4" t="s">
        <v>4</v>
      </c>
      <c r="B4">
        <v>20.88</v>
      </c>
      <c r="C4">
        <v>20.88</v>
      </c>
    </row>
    <row r="5" spans="1:4" x14ac:dyDescent="0.2">
      <c r="A5" t="s">
        <v>5</v>
      </c>
      <c r="B5">
        <v>19.38</v>
      </c>
      <c r="C5">
        <v>19.38</v>
      </c>
    </row>
    <row r="6" spans="1:4" x14ac:dyDescent="0.2">
      <c r="A6" t="s">
        <v>6</v>
      </c>
      <c r="B6">
        <v>33.18</v>
      </c>
      <c r="C6">
        <v>33.18</v>
      </c>
    </row>
    <row r="7" spans="1:4" x14ac:dyDescent="0.2">
      <c r="D7">
        <f>SUM(B3:C6)</f>
        <v>288.88</v>
      </c>
    </row>
    <row r="10" spans="1:4" x14ac:dyDescent="0.2">
      <c r="A10" s="1" t="s">
        <v>111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119.28</v>
      </c>
      <c r="C11">
        <v>51.12</v>
      </c>
    </row>
    <row r="12" spans="1:4" x14ac:dyDescent="0.2">
      <c r="A12" t="s">
        <v>4</v>
      </c>
      <c r="B12">
        <v>23.49</v>
      </c>
      <c r="C12">
        <v>23.49</v>
      </c>
    </row>
    <row r="13" spans="1:4" x14ac:dyDescent="0.2">
      <c r="A13" t="s">
        <v>5</v>
      </c>
      <c r="B13">
        <v>16.32</v>
      </c>
      <c r="C13">
        <v>16.32</v>
      </c>
    </row>
    <row r="14" spans="1:4" x14ac:dyDescent="0.2">
      <c r="A14" t="s">
        <v>6</v>
      </c>
      <c r="B14">
        <v>33.18</v>
      </c>
      <c r="C14">
        <v>33.18</v>
      </c>
    </row>
    <row r="15" spans="1:4" x14ac:dyDescent="0.2">
      <c r="D15">
        <f>SUM(B11:C14)</f>
        <v>316.38</v>
      </c>
    </row>
    <row r="18" spans="1:4" x14ac:dyDescent="0.2">
      <c r="A18" s="1" t="s">
        <v>112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99.4</v>
      </c>
      <c r="C19">
        <v>42.6</v>
      </c>
    </row>
    <row r="20" spans="1:4" x14ac:dyDescent="0.2">
      <c r="A20" t="s">
        <v>4</v>
      </c>
      <c r="B20">
        <v>22.84</v>
      </c>
      <c r="C20">
        <v>22.84</v>
      </c>
    </row>
    <row r="21" spans="1:4" x14ac:dyDescent="0.2">
      <c r="A21" t="s">
        <v>5</v>
      </c>
      <c r="B21">
        <v>18.36</v>
      </c>
      <c r="C21">
        <v>18.36</v>
      </c>
    </row>
    <row r="22" spans="1:4" x14ac:dyDescent="0.2">
      <c r="A22" t="s">
        <v>6</v>
      </c>
      <c r="B22">
        <v>33.18</v>
      </c>
      <c r="C22">
        <v>33.18</v>
      </c>
    </row>
    <row r="23" spans="1:4" x14ac:dyDescent="0.2">
      <c r="D23">
        <f>SUM(B19:C22)</f>
        <v>290.76000000000005</v>
      </c>
    </row>
    <row r="25" spans="1:4" x14ac:dyDescent="0.2">
      <c r="A25" s="1" t="s">
        <v>113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99.4</v>
      </c>
      <c r="C26">
        <v>42.6</v>
      </c>
    </row>
    <row r="27" spans="1:4" x14ac:dyDescent="0.2">
      <c r="A27" t="s">
        <v>4</v>
      </c>
      <c r="B27">
        <v>23.49</v>
      </c>
      <c r="C27">
        <v>23.49</v>
      </c>
    </row>
    <row r="28" spans="1:4" x14ac:dyDescent="0.2">
      <c r="A28" t="s">
        <v>5</v>
      </c>
      <c r="B28">
        <v>18.36</v>
      </c>
      <c r="C28">
        <v>18.36</v>
      </c>
    </row>
    <row r="29" spans="1:4" x14ac:dyDescent="0.2">
      <c r="A29" t="s">
        <v>6</v>
      </c>
      <c r="B29">
        <v>33.18</v>
      </c>
      <c r="C29">
        <v>33.18</v>
      </c>
    </row>
    <row r="30" spans="1:4" x14ac:dyDescent="0.2">
      <c r="D30">
        <f>SUM(B26:C29)</f>
        <v>292.06000000000006</v>
      </c>
    </row>
    <row r="32" spans="1:4" x14ac:dyDescent="0.2">
      <c r="A32" s="3" t="s">
        <v>109</v>
      </c>
      <c r="D32" s="3">
        <f>D7+D15+D23+D30</f>
        <v>1188.08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E902-2F46-47EA-AE6E-5C9AEE868FD6}">
  <dimension ref="A1:D32"/>
  <sheetViews>
    <sheetView view="pageBreakPreview" zoomScaleNormal="100" workbookViewId="0">
      <selection activeCell="D28" sqref="D28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114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122.64</v>
      </c>
      <c r="C3">
        <v>52.56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19.440000000000001</v>
      </c>
      <c r="C5">
        <v>19.440000000000001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331.97999999999996</v>
      </c>
    </row>
    <row r="10" spans="1:4" x14ac:dyDescent="0.2">
      <c r="A10" s="1" t="s">
        <v>115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102.2</v>
      </c>
      <c r="C11">
        <v>43.8</v>
      </c>
    </row>
    <row r="12" spans="1:4" x14ac:dyDescent="0.2">
      <c r="A12" t="s">
        <v>4</v>
      </c>
      <c r="B12">
        <v>24.23</v>
      </c>
      <c r="C12">
        <v>24.23</v>
      </c>
    </row>
    <row r="13" spans="1:4" x14ac:dyDescent="0.2">
      <c r="A13" t="s">
        <v>5</v>
      </c>
      <c r="B13">
        <v>17.28</v>
      </c>
      <c r="C13">
        <v>17.28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297.77999999999997</v>
      </c>
    </row>
    <row r="18" spans="1:4" x14ac:dyDescent="0.2">
      <c r="A18" s="1" t="s">
        <v>116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102.2</v>
      </c>
      <c r="C19">
        <v>102.2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34.380000000000003</v>
      </c>
      <c r="C22">
        <v>34.380000000000003</v>
      </c>
    </row>
    <row r="23" spans="1:4" x14ac:dyDescent="0.2">
      <c r="D23">
        <f>SUM(B19:C22)</f>
        <v>365.5</v>
      </c>
    </row>
    <row r="25" spans="1:4" x14ac:dyDescent="0.2">
      <c r="A25" s="1" t="s">
        <v>117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102.2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34.380000000000003</v>
      </c>
      <c r="C29">
        <v>34.380000000000003</v>
      </c>
    </row>
    <row r="30" spans="1:4" x14ac:dyDescent="0.2">
      <c r="D30">
        <f>SUM(B26:C29)</f>
        <v>307.09999999999997</v>
      </c>
    </row>
    <row r="32" spans="1:4" x14ac:dyDescent="0.2">
      <c r="A32" s="3" t="s">
        <v>118</v>
      </c>
      <c r="D32" s="3">
        <f>D7+D15+D23+D30</f>
        <v>1302.3599999999999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B4C0-981E-4A22-86B8-A1180F495C84}">
  <dimension ref="A1:D32"/>
  <sheetViews>
    <sheetView view="pageBreakPreview" topLeftCell="A7" zoomScaleNormal="100" workbookViewId="0">
      <selection activeCell="F28" sqref="F28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119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102.2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19.440000000000001</v>
      </c>
      <c r="C5">
        <v>19.440000000000001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302.77999999999997</v>
      </c>
    </row>
    <row r="10" spans="1:4" x14ac:dyDescent="0.2">
      <c r="A10" s="1" t="s">
        <v>120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102.2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307.09999999999997</v>
      </c>
    </row>
    <row r="18" spans="1:4" x14ac:dyDescent="0.2">
      <c r="A18" s="1" t="s">
        <v>121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102.2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34.380000000000003</v>
      </c>
      <c r="C22">
        <v>34.380000000000003</v>
      </c>
    </row>
    <row r="23" spans="1:4" x14ac:dyDescent="0.2">
      <c r="D23">
        <f>SUM(B19:C22)</f>
        <v>307.09999999999997</v>
      </c>
    </row>
    <row r="25" spans="1:4" x14ac:dyDescent="0.2">
      <c r="A25" s="1" t="s">
        <v>122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102.2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34.380000000000003</v>
      </c>
      <c r="C29">
        <v>34.380000000000003</v>
      </c>
    </row>
    <row r="30" spans="1:4" x14ac:dyDescent="0.2">
      <c r="D30">
        <f>SUM(B26:C29)</f>
        <v>307.09999999999997</v>
      </c>
    </row>
    <row r="32" spans="1:4" x14ac:dyDescent="0.2">
      <c r="A32" s="3" t="s">
        <v>127</v>
      </c>
      <c r="D32" s="3">
        <f>D7+D15+D23+D30</f>
        <v>1224.0799999999997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25BF-E9CC-4234-8FA2-22CA102499B6}">
  <dimension ref="A1:D38"/>
  <sheetViews>
    <sheetView view="pageBreakPreview" topLeftCell="A7" zoomScaleNormal="100" workbookViewId="0">
      <selection activeCell="E35" sqref="E3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123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102.2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21.6</v>
      </c>
      <c r="C5">
        <v>21.6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307.09999999999997</v>
      </c>
    </row>
    <row r="10" spans="1:4" x14ac:dyDescent="0.2">
      <c r="A10" s="1" t="s">
        <v>124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102.2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307.09999999999997</v>
      </c>
    </row>
    <row r="18" spans="1:4" x14ac:dyDescent="0.2">
      <c r="A18" s="1" t="s">
        <v>125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122.64</v>
      </c>
      <c r="C19">
        <v>52.56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34.380000000000003</v>
      </c>
      <c r="C22">
        <v>34.380000000000003</v>
      </c>
    </row>
    <row r="23" spans="1:4" x14ac:dyDescent="0.2">
      <c r="D23">
        <f>SUM(B19:C22)</f>
        <v>336.29999999999995</v>
      </c>
    </row>
    <row r="25" spans="1:4" x14ac:dyDescent="0.2">
      <c r="A25" s="1" t="s">
        <v>126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102.2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35.67</v>
      </c>
      <c r="C29">
        <v>35.67</v>
      </c>
    </row>
    <row r="30" spans="1:4" x14ac:dyDescent="0.2">
      <c r="D30">
        <f>SUM(B26:C29)</f>
        <v>309.68</v>
      </c>
    </row>
    <row r="31" spans="1:4" x14ac:dyDescent="0.2">
      <c r="A31" s="1" t="s">
        <v>128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  <c r="B32">
        <v>102.2</v>
      </c>
      <c r="C32">
        <v>43.8</v>
      </c>
    </row>
    <row r="33" spans="1:4" x14ac:dyDescent="0.2">
      <c r="A33" t="s">
        <v>4</v>
      </c>
      <c r="B33">
        <v>24.57</v>
      </c>
      <c r="C33">
        <v>24.57</v>
      </c>
    </row>
    <row r="34" spans="1:4" x14ac:dyDescent="0.2">
      <c r="A34" t="s">
        <v>5</v>
      </c>
      <c r="B34">
        <v>21.6</v>
      </c>
      <c r="C34">
        <v>21.6</v>
      </c>
    </row>
    <row r="35" spans="1:4" x14ac:dyDescent="0.2">
      <c r="A35" t="s">
        <v>6</v>
      </c>
      <c r="B35">
        <v>34.380000000000003</v>
      </c>
      <c r="C35">
        <v>34.380000000000003</v>
      </c>
    </row>
    <row r="36" spans="1:4" x14ac:dyDescent="0.2">
      <c r="D36">
        <f>SUM(B32:C35)</f>
        <v>307.09999999999997</v>
      </c>
    </row>
    <row r="38" spans="1:4" x14ac:dyDescent="0.2">
      <c r="A38" t="s">
        <v>129</v>
      </c>
      <c r="D38">
        <f>D36+D30+D23+D15+D7</f>
        <v>1567.2799999999997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99CB-6133-430C-8F61-5AE262FBAA52}">
  <dimension ref="A1:D38"/>
  <sheetViews>
    <sheetView view="pageBreakPreview" topLeftCell="A7" zoomScaleNormal="100" workbookViewId="0">
      <selection activeCell="B45" sqref="B4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130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102.2</v>
      </c>
      <c r="C3">
        <v>43.8</v>
      </c>
    </row>
    <row r="4" spans="1:4" x14ac:dyDescent="0.2">
      <c r="A4" t="s">
        <v>4</v>
      </c>
      <c r="B4">
        <v>21.84</v>
      </c>
      <c r="C4">
        <v>21.84</v>
      </c>
    </row>
    <row r="5" spans="1:4" x14ac:dyDescent="0.2">
      <c r="A5" t="s">
        <v>5</v>
      </c>
      <c r="B5">
        <v>21.6</v>
      </c>
      <c r="C5">
        <v>21.6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301.64</v>
      </c>
    </row>
    <row r="10" spans="1:4" x14ac:dyDescent="0.2">
      <c r="A10" s="1" t="s">
        <v>131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102.2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307.09999999999997</v>
      </c>
    </row>
    <row r="18" spans="1:4" x14ac:dyDescent="0.2">
      <c r="A18" s="1" t="s">
        <v>132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102.2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34.380000000000003</v>
      </c>
      <c r="C22">
        <v>34.380000000000003</v>
      </c>
    </row>
    <row r="23" spans="1:4" x14ac:dyDescent="0.2">
      <c r="D23">
        <f>SUM(B19:C22)</f>
        <v>307.09999999999997</v>
      </c>
    </row>
    <row r="25" spans="1:4" x14ac:dyDescent="0.2">
      <c r="A25" s="1" t="s">
        <v>133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102.2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34.380000000000003</v>
      </c>
      <c r="C29">
        <v>34.380000000000003</v>
      </c>
    </row>
    <row r="30" spans="1:4" x14ac:dyDescent="0.2">
      <c r="D30">
        <f>SUM(B26:C29)</f>
        <v>307.09999999999997</v>
      </c>
    </row>
    <row r="31" spans="1:4" x14ac:dyDescent="0.2">
      <c r="A31" s="1" t="s">
        <v>134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135</v>
      </c>
      <c r="D38">
        <f>D36+D30+D23+D15+D7</f>
        <v>1222.94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ED49-8616-4270-AA9A-5BE42B7DEBC6}">
  <dimension ref="A1:D38"/>
  <sheetViews>
    <sheetView view="pageBreakPreview" topLeftCell="A14" zoomScaleNormal="100" workbookViewId="0">
      <selection activeCell="C36" sqref="C3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137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102.2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21.6</v>
      </c>
      <c r="C5">
        <v>21.6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307.09999999999997</v>
      </c>
    </row>
    <row r="10" spans="1:4" x14ac:dyDescent="0.2">
      <c r="A10" s="1" t="s">
        <v>138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102.2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17.28</v>
      </c>
      <c r="C13">
        <v>17.28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298.45999999999998</v>
      </c>
    </row>
    <row r="18" spans="1:4" x14ac:dyDescent="0.2">
      <c r="A18" s="1" t="s">
        <v>139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102.2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34.380000000000003</v>
      </c>
      <c r="C22">
        <v>34.380000000000003</v>
      </c>
    </row>
    <row r="23" spans="1:4" x14ac:dyDescent="0.2">
      <c r="D23">
        <f>SUM(B19:C22)</f>
        <v>307.09999999999997</v>
      </c>
    </row>
    <row r="25" spans="1:4" x14ac:dyDescent="0.2">
      <c r="A25" s="1" t="s">
        <v>140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102.2</v>
      </c>
      <c r="C26">
        <v>43.8</v>
      </c>
    </row>
    <row r="27" spans="1:4" x14ac:dyDescent="0.2">
      <c r="A27" t="s">
        <v>4</v>
      </c>
      <c r="B27">
        <v>24.23</v>
      </c>
      <c r="C27">
        <v>24.23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34.380000000000003</v>
      </c>
      <c r="C29">
        <v>34.380000000000003</v>
      </c>
    </row>
    <row r="30" spans="1:4" x14ac:dyDescent="0.2">
      <c r="D30">
        <f>SUM(B26:C29)</f>
        <v>306.41999999999996</v>
      </c>
    </row>
    <row r="31" spans="1:4" x14ac:dyDescent="0.2">
      <c r="A31" s="1" t="s">
        <v>141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  <c r="B32">
        <v>102.2</v>
      </c>
      <c r="C32">
        <v>43.8</v>
      </c>
    </row>
    <row r="33" spans="1:4" x14ac:dyDescent="0.2">
      <c r="A33" t="s">
        <v>4</v>
      </c>
      <c r="B33">
        <v>27.3</v>
      </c>
      <c r="C33">
        <v>27.3</v>
      </c>
    </row>
    <row r="34" spans="1:4" x14ac:dyDescent="0.2">
      <c r="A34" t="s">
        <v>5</v>
      </c>
      <c r="B34">
        <v>21.6</v>
      </c>
      <c r="C34">
        <v>21.6</v>
      </c>
    </row>
    <row r="35" spans="1:4" x14ac:dyDescent="0.2">
      <c r="A35" t="s">
        <v>6</v>
      </c>
      <c r="B35">
        <v>34.380000000000003</v>
      </c>
      <c r="C35">
        <v>34.380000000000003</v>
      </c>
    </row>
    <row r="36" spans="1:4" x14ac:dyDescent="0.2">
      <c r="D36">
        <f>SUM(B32:C35)</f>
        <v>312.56</v>
      </c>
    </row>
    <row r="38" spans="1:4" x14ac:dyDescent="0.2">
      <c r="A38" t="s">
        <v>136</v>
      </c>
      <c r="D38">
        <f>D36+D30+D23+D15+D7</f>
        <v>1531.6399999999999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ECB7-4489-4A99-A2DC-DE18BF68168F}">
  <dimension ref="A1:D38"/>
  <sheetViews>
    <sheetView view="pageBreakPreview" topLeftCell="A4" zoomScaleNormal="100" workbookViewId="0">
      <selection activeCell="D25" sqref="D2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143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102.2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17.28</v>
      </c>
      <c r="C5">
        <v>17.28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298.45999999999998</v>
      </c>
    </row>
    <row r="10" spans="1:4" x14ac:dyDescent="0.2">
      <c r="A10" s="1" t="s">
        <v>144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102.2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307.09999999999997</v>
      </c>
    </row>
    <row r="18" spans="1:4" x14ac:dyDescent="0.2">
      <c r="A18" s="1" t="s">
        <v>145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102.2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34.380000000000003</v>
      </c>
      <c r="C22">
        <v>34.380000000000003</v>
      </c>
    </row>
    <row r="23" spans="1:4" x14ac:dyDescent="0.2">
      <c r="D23">
        <f>SUM(B19:C22)</f>
        <v>307.09999999999997</v>
      </c>
    </row>
    <row r="25" spans="1:4" x14ac:dyDescent="0.2">
      <c r="A25" s="1" t="s">
        <v>146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102.2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34.380000000000003</v>
      </c>
      <c r="C29">
        <v>34.380000000000003</v>
      </c>
    </row>
    <row r="30" spans="1:4" x14ac:dyDescent="0.2">
      <c r="D30">
        <f>SUM(B26:C29)</f>
        <v>307.09999999999997</v>
      </c>
    </row>
    <row r="31" spans="1:4" x14ac:dyDescent="0.2">
      <c r="A31" s="1" t="s">
        <v>141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  <c r="B32">
        <v>102.2</v>
      </c>
      <c r="C32">
        <v>43.8</v>
      </c>
    </row>
    <row r="33" spans="1:4" x14ac:dyDescent="0.2">
      <c r="A33" t="s">
        <v>4</v>
      </c>
      <c r="B33">
        <v>27.3</v>
      </c>
      <c r="C33">
        <v>27.3</v>
      </c>
    </row>
    <row r="34" spans="1:4" x14ac:dyDescent="0.2">
      <c r="A34" t="s">
        <v>5</v>
      </c>
      <c r="B34">
        <v>21.6</v>
      </c>
      <c r="C34">
        <v>21.6</v>
      </c>
    </row>
    <row r="35" spans="1:4" x14ac:dyDescent="0.2">
      <c r="A35" t="s">
        <v>6</v>
      </c>
      <c r="B35">
        <v>34.380000000000003</v>
      </c>
      <c r="C35">
        <v>34.380000000000003</v>
      </c>
    </row>
    <row r="36" spans="1:4" x14ac:dyDescent="0.2">
      <c r="D36">
        <f>SUM(B32:C35)</f>
        <v>312.56</v>
      </c>
    </row>
    <row r="38" spans="1:4" x14ac:dyDescent="0.2">
      <c r="A38" t="s">
        <v>142</v>
      </c>
      <c r="D38">
        <f>D36+D30+D23+D15+D7</f>
        <v>1532.32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CF93-82F1-4DD0-9226-A683CA4208A9}">
  <dimension ref="A1:D38"/>
  <sheetViews>
    <sheetView view="pageBreakPreview" topLeftCell="A16" zoomScaleNormal="100" workbookViewId="0">
      <selection activeCell="D43" sqref="D43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147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102.2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21.6</v>
      </c>
      <c r="C5">
        <v>21.6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307.09999999999997</v>
      </c>
    </row>
    <row r="10" spans="1:4" x14ac:dyDescent="0.2">
      <c r="A10" s="1" t="s">
        <v>148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102.2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307.09999999999997</v>
      </c>
    </row>
    <row r="18" spans="1:4" x14ac:dyDescent="0.2">
      <c r="A18" s="1" t="s">
        <v>149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102.2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19.440000000000001</v>
      </c>
      <c r="C21">
        <v>19.440000000000001</v>
      </c>
    </row>
    <row r="22" spans="1:4" x14ac:dyDescent="0.2">
      <c r="A22" t="s">
        <v>6</v>
      </c>
      <c r="B22">
        <v>34.380000000000003</v>
      </c>
      <c r="C22">
        <v>34.380000000000003</v>
      </c>
    </row>
    <row r="23" spans="1:4" x14ac:dyDescent="0.2">
      <c r="D23">
        <f>SUM(B19:C22)</f>
        <v>302.77999999999997</v>
      </c>
    </row>
    <row r="25" spans="1:4" x14ac:dyDescent="0.2">
      <c r="A25" s="1" t="s">
        <v>150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102.2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34.380000000000003</v>
      </c>
      <c r="C29">
        <v>34.380000000000003</v>
      </c>
    </row>
    <row r="30" spans="1:4" x14ac:dyDescent="0.2">
      <c r="D30">
        <f>SUM(B26:C29)</f>
        <v>307.09999999999997</v>
      </c>
    </row>
    <row r="31" spans="1:4" x14ac:dyDescent="0.2">
      <c r="A31" s="1" t="s">
        <v>151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152</v>
      </c>
      <c r="D38">
        <f>D36+D30+D23+D15+D7</f>
        <v>1224.0799999999997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07A3-E183-41B7-841F-4511EEAD6E09}">
  <dimension ref="A1:D38"/>
  <sheetViews>
    <sheetView view="pageBreakPreview" topLeftCell="A13" zoomScaleNormal="100" workbookViewId="0">
      <selection activeCell="C38" sqref="C38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154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102.2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21.6</v>
      </c>
      <c r="C5">
        <v>21.6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307.09999999999997</v>
      </c>
    </row>
    <row r="10" spans="1:4" x14ac:dyDescent="0.2">
      <c r="A10" s="1" t="s">
        <v>155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102.2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307.09999999999997</v>
      </c>
    </row>
    <row r="18" spans="1:4" x14ac:dyDescent="0.2">
      <c r="A18" s="1" t="s">
        <v>156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102.2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34.380000000000003</v>
      </c>
      <c r="C22">
        <v>34.380000000000003</v>
      </c>
    </row>
    <row r="23" spans="1:4" x14ac:dyDescent="0.2">
      <c r="D23">
        <f>SUM(B19:C22)</f>
        <v>307.09999999999997</v>
      </c>
    </row>
    <row r="25" spans="1:4" x14ac:dyDescent="0.2">
      <c r="A25" s="1" t="s">
        <v>157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102.2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34.380000000000003</v>
      </c>
      <c r="C29">
        <v>34.380000000000003</v>
      </c>
    </row>
    <row r="30" spans="1:4" x14ac:dyDescent="0.2">
      <c r="D30">
        <f>SUM(B26:C29)</f>
        <v>307.09999999999997</v>
      </c>
    </row>
    <row r="31" spans="1:4" x14ac:dyDescent="0.2">
      <c r="A31" s="1" t="s">
        <v>151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153</v>
      </c>
      <c r="D38">
        <f>D36+D30+D23+D15+D7</f>
        <v>1228.3999999999999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DA17-1E75-4C20-B2A2-E9D8AFF10E38}">
  <dimension ref="A1:D38"/>
  <sheetViews>
    <sheetView view="pageBreakPreview" topLeftCell="A7" zoomScaleNormal="100" workbookViewId="0">
      <selection activeCell="D35" sqref="D3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159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21.6</v>
      </c>
      <c r="C5">
        <v>21.6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334.9</v>
      </c>
    </row>
    <row r="10" spans="1:4" x14ac:dyDescent="0.2">
      <c r="A10" s="1" t="s">
        <v>160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334.9</v>
      </c>
    </row>
    <row r="18" spans="1:4" x14ac:dyDescent="0.2">
      <c r="A18" s="1" t="s">
        <v>161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36.96</v>
      </c>
      <c r="C22">
        <v>36.96</v>
      </c>
    </row>
    <row r="23" spans="1:4" x14ac:dyDescent="0.2">
      <c r="D23">
        <f>SUM(B19:C22)</f>
        <v>340.05999999999995</v>
      </c>
    </row>
    <row r="25" spans="1:4" x14ac:dyDescent="0.2">
      <c r="A25" s="1" t="s">
        <v>162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35.67</v>
      </c>
      <c r="C29">
        <v>35.67</v>
      </c>
    </row>
    <row r="30" spans="1:4" x14ac:dyDescent="0.2">
      <c r="D30">
        <f>SUM(B26:C29)</f>
        <v>337.48</v>
      </c>
    </row>
    <row r="31" spans="1:4" x14ac:dyDescent="0.2">
      <c r="A31" s="1" t="s">
        <v>163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  <c r="B32">
        <v>130</v>
      </c>
      <c r="C32">
        <v>43.8</v>
      </c>
    </row>
    <row r="33" spans="1:4" x14ac:dyDescent="0.2">
      <c r="A33" t="s">
        <v>4</v>
      </c>
      <c r="B33">
        <v>24.57</v>
      </c>
      <c r="C33">
        <v>24.57</v>
      </c>
    </row>
    <row r="34" spans="1:4" x14ac:dyDescent="0.2">
      <c r="A34" t="s">
        <v>5</v>
      </c>
      <c r="B34">
        <v>21.6</v>
      </c>
      <c r="C34">
        <v>21.6</v>
      </c>
    </row>
    <row r="35" spans="1:4" x14ac:dyDescent="0.2">
      <c r="A35" t="s">
        <v>6</v>
      </c>
      <c r="B35">
        <v>34.380000000000003</v>
      </c>
      <c r="C35">
        <v>34.380000000000003</v>
      </c>
    </row>
    <row r="36" spans="1:4" x14ac:dyDescent="0.2">
      <c r="D36">
        <f>SUM(B32:C35)</f>
        <v>334.9</v>
      </c>
    </row>
    <row r="38" spans="1:4" x14ac:dyDescent="0.2">
      <c r="A38" t="s">
        <v>158</v>
      </c>
      <c r="D38">
        <f>D36+D30+D23+D15+D7</f>
        <v>1682.2399999999998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D032-7B86-461D-AE94-6CD129F03E81}">
  <dimension ref="A1:D38"/>
  <sheetViews>
    <sheetView view="pageBreakPreview" zoomScaleNormal="100" workbookViewId="0">
      <selection activeCell="B36" sqref="B3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165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21.6</v>
      </c>
      <c r="C5">
        <v>21.6</v>
      </c>
    </row>
    <row r="6" spans="1:4" x14ac:dyDescent="0.2">
      <c r="A6" t="s">
        <v>6</v>
      </c>
      <c r="B6">
        <v>29.22</v>
      </c>
      <c r="C6">
        <v>29.22</v>
      </c>
    </row>
    <row r="7" spans="1:4" x14ac:dyDescent="0.2">
      <c r="D7">
        <f>SUM(B3:C6)</f>
        <v>324.58000000000004</v>
      </c>
    </row>
    <row r="10" spans="1:4" x14ac:dyDescent="0.2">
      <c r="A10" s="1" t="s">
        <v>166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334.9</v>
      </c>
    </row>
    <row r="18" spans="1:4" x14ac:dyDescent="0.2">
      <c r="A18" s="1" t="s">
        <v>167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34.380000000000003</v>
      </c>
      <c r="C22">
        <v>34.380000000000003</v>
      </c>
    </row>
    <row r="23" spans="1:4" x14ac:dyDescent="0.2">
      <c r="D23">
        <f>SUM(B19:C22)</f>
        <v>334.9</v>
      </c>
    </row>
    <row r="25" spans="1:4" x14ac:dyDescent="0.2">
      <c r="A25" s="1" t="s">
        <v>168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33.520000000000003</v>
      </c>
      <c r="C29">
        <v>33.520000000000003</v>
      </c>
    </row>
    <row r="30" spans="1:4" x14ac:dyDescent="0.2">
      <c r="D30">
        <f>SUM(B26:C29)</f>
        <v>333.17999999999995</v>
      </c>
    </row>
    <row r="31" spans="1:4" x14ac:dyDescent="0.2">
      <c r="A31" s="1" t="s">
        <v>134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164</v>
      </c>
      <c r="D38">
        <f>D36+D30+D23+D15+D7</f>
        <v>1327.56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A6B9-AD78-49D4-92E7-892844340AB2}">
  <dimension ref="A1:D38"/>
  <sheetViews>
    <sheetView view="pageBreakPreview" zoomScaleNormal="100" workbookViewId="0">
      <selection activeCell="B41" sqref="B41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170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21.6</v>
      </c>
      <c r="C5">
        <v>21.6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334.9</v>
      </c>
    </row>
    <row r="10" spans="1:4" x14ac:dyDescent="0.2">
      <c r="A10" s="1" t="s">
        <v>171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31.8</v>
      </c>
      <c r="C14">
        <v>31.8</v>
      </c>
    </row>
    <row r="15" spans="1:4" x14ac:dyDescent="0.2">
      <c r="D15">
        <f>SUM(B11:C14)</f>
        <v>329.74</v>
      </c>
    </row>
    <row r="18" spans="1:4" x14ac:dyDescent="0.2">
      <c r="A18" s="1" t="s">
        <v>172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8.6</v>
      </c>
      <c r="C22">
        <v>8.6</v>
      </c>
    </row>
    <row r="23" spans="1:4" x14ac:dyDescent="0.2">
      <c r="D23">
        <f>SUM(B19:C22)</f>
        <v>283.34000000000003</v>
      </c>
    </row>
    <row r="25" spans="1:4" x14ac:dyDescent="0.2">
      <c r="A25" s="1" t="s">
        <v>173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8.6</v>
      </c>
      <c r="C29">
        <v>8.6</v>
      </c>
    </row>
    <row r="30" spans="1:4" x14ac:dyDescent="0.2">
      <c r="D30">
        <f>SUM(B26:C29)</f>
        <v>283.34000000000003</v>
      </c>
    </row>
    <row r="31" spans="1:4" x14ac:dyDescent="0.2">
      <c r="A31" s="1" t="s">
        <v>134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169</v>
      </c>
      <c r="D38">
        <f>D36+D30+D23+D15+D7</f>
        <v>1231.3200000000002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1E6B-802F-4E99-B966-45BF20E20FC5}">
  <dimension ref="A1:D38"/>
  <sheetViews>
    <sheetView view="pageBreakPreview" zoomScaleNormal="100" workbookViewId="0">
      <selection activeCell="D42" sqref="D42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174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21.6</v>
      </c>
      <c r="C5">
        <v>21.6</v>
      </c>
    </row>
    <row r="6" spans="1:4" x14ac:dyDescent="0.2">
      <c r="A6" t="s">
        <v>6</v>
      </c>
      <c r="B6">
        <v>18.91</v>
      </c>
      <c r="C6">
        <v>18.91</v>
      </c>
    </row>
    <row r="7" spans="1:4" x14ac:dyDescent="0.2">
      <c r="D7">
        <f>SUM(B3:C6)</f>
        <v>303.96000000000004</v>
      </c>
    </row>
    <row r="10" spans="1:4" x14ac:dyDescent="0.2">
      <c r="A10" s="1" t="s">
        <v>175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17.190000000000001</v>
      </c>
      <c r="C14">
        <v>17.190000000000001</v>
      </c>
    </row>
    <row r="15" spans="1:4" x14ac:dyDescent="0.2">
      <c r="D15">
        <f>SUM(B11:C14)</f>
        <v>300.52</v>
      </c>
    </row>
    <row r="18" spans="1:4" x14ac:dyDescent="0.2">
      <c r="A18" s="1" t="s">
        <v>176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21.6</v>
      </c>
      <c r="C21">
        <v>21.6</v>
      </c>
    </row>
    <row r="22" spans="1:4" x14ac:dyDescent="0.2">
      <c r="A22" t="s">
        <v>6</v>
      </c>
      <c r="B22">
        <v>17.190000000000001</v>
      </c>
      <c r="C22">
        <v>17.190000000000001</v>
      </c>
    </row>
    <row r="23" spans="1:4" x14ac:dyDescent="0.2">
      <c r="D23">
        <f>SUM(B19:C22)</f>
        <v>300.52</v>
      </c>
    </row>
    <row r="25" spans="1:4" x14ac:dyDescent="0.2">
      <c r="A25" s="1" t="s">
        <v>177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21.6</v>
      </c>
      <c r="C28">
        <v>21.6</v>
      </c>
    </row>
    <row r="29" spans="1:4" x14ac:dyDescent="0.2">
      <c r="A29" t="s">
        <v>6</v>
      </c>
      <c r="B29">
        <v>33.520000000000003</v>
      </c>
      <c r="C29">
        <v>33.520000000000003</v>
      </c>
    </row>
    <row r="30" spans="1:4" x14ac:dyDescent="0.2">
      <c r="D30">
        <f>SUM(B26:C29)</f>
        <v>333.17999999999995</v>
      </c>
    </row>
    <row r="31" spans="1:4" x14ac:dyDescent="0.2">
      <c r="A31" s="1" t="s">
        <v>178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  <c r="B32">
        <v>130</v>
      </c>
      <c r="C32">
        <v>43.8</v>
      </c>
    </row>
    <row r="33" spans="1:4" x14ac:dyDescent="0.2">
      <c r="A33" t="s">
        <v>4</v>
      </c>
      <c r="B33">
        <v>24.57</v>
      </c>
      <c r="C33">
        <v>24.57</v>
      </c>
    </row>
    <row r="34" spans="1:4" x14ac:dyDescent="0.2">
      <c r="A34" t="s">
        <v>5</v>
      </c>
      <c r="B34">
        <v>21.6</v>
      </c>
      <c r="C34">
        <v>21.6</v>
      </c>
    </row>
    <row r="35" spans="1:4" x14ac:dyDescent="0.2">
      <c r="A35" t="s">
        <v>6</v>
      </c>
      <c r="B35">
        <v>34.380000000000003</v>
      </c>
      <c r="C35">
        <v>34.380000000000003</v>
      </c>
    </row>
    <row r="36" spans="1:4" x14ac:dyDescent="0.2">
      <c r="D36">
        <f>SUM(B32:C35)</f>
        <v>334.9</v>
      </c>
    </row>
    <row r="38" spans="1:4" x14ac:dyDescent="0.2">
      <c r="A38" t="s">
        <v>179</v>
      </c>
      <c r="D38">
        <f>D36+D30+D23+D15+D7</f>
        <v>1573.08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CCFF-3F54-4C75-BA50-82BF3A831227}">
  <dimension ref="A1:D38"/>
  <sheetViews>
    <sheetView view="pageBreakPreview" zoomScaleNormal="100" workbookViewId="0">
      <selection activeCell="A39" sqref="A3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180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43.8</v>
      </c>
    </row>
    <row r="4" spans="1:4" x14ac:dyDescent="0.2">
      <c r="A4" t="s">
        <v>4</v>
      </c>
      <c r="B4">
        <v>24.57</v>
      </c>
      <c r="C4">
        <v>24.57</v>
      </c>
    </row>
    <row r="5" spans="1:4" x14ac:dyDescent="0.2">
      <c r="A5" t="s">
        <v>5</v>
      </c>
      <c r="B5">
        <v>21.6</v>
      </c>
      <c r="C5">
        <v>21.6</v>
      </c>
    </row>
    <row r="6" spans="1:4" x14ac:dyDescent="0.2">
      <c r="A6" t="s">
        <v>6</v>
      </c>
      <c r="B6">
        <v>34.380000000000003</v>
      </c>
      <c r="C6">
        <v>34.380000000000003</v>
      </c>
    </row>
    <row r="7" spans="1:4" x14ac:dyDescent="0.2">
      <c r="D7">
        <f>SUM(B3:C6)</f>
        <v>334.9</v>
      </c>
    </row>
    <row r="10" spans="1:4" x14ac:dyDescent="0.2">
      <c r="A10" s="1" t="s">
        <v>181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43.8</v>
      </c>
    </row>
    <row r="12" spans="1:4" x14ac:dyDescent="0.2">
      <c r="A12" t="s">
        <v>4</v>
      </c>
      <c r="B12">
        <v>24.57</v>
      </c>
      <c r="C12">
        <v>24.57</v>
      </c>
    </row>
    <row r="13" spans="1:4" x14ac:dyDescent="0.2">
      <c r="A13" t="s">
        <v>5</v>
      </c>
      <c r="B13">
        <v>21.6</v>
      </c>
      <c r="C13">
        <v>21.6</v>
      </c>
    </row>
    <row r="14" spans="1:4" x14ac:dyDescent="0.2">
      <c r="A14" t="s">
        <v>6</v>
      </c>
      <c r="B14">
        <v>34.380000000000003</v>
      </c>
      <c r="C14">
        <v>34.380000000000003</v>
      </c>
    </row>
    <row r="15" spans="1:4" x14ac:dyDescent="0.2">
      <c r="D15">
        <f>SUM(B11:C14)</f>
        <v>334.9</v>
      </c>
    </row>
    <row r="18" spans="1:4" x14ac:dyDescent="0.2">
      <c r="A18" s="1" t="s">
        <v>182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43.8</v>
      </c>
    </row>
    <row r="20" spans="1:4" x14ac:dyDescent="0.2">
      <c r="A20" t="s">
        <v>4</v>
      </c>
      <c r="B20">
        <v>24.57</v>
      </c>
      <c r="C20">
        <v>24.57</v>
      </c>
    </row>
    <row r="21" spans="1:4" x14ac:dyDescent="0.2">
      <c r="A21" t="s">
        <v>5</v>
      </c>
      <c r="B21">
        <v>18.899999999999999</v>
      </c>
      <c r="C21">
        <v>18.899999999999999</v>
      </c>
    </row>
    <row r="22" spans="1:4" x14ac:dyDescent="0.2">
      <c r="A22" t="s">
        <v>6</v>
      </c>
      <c r="B22">
        <v>34.380000000000003</v>
      </c>
      <c r="C22">
        <v>34.380000000000003</v>
      </c>
    </row>
    <row r="23" spans="1:4" x14ac:dyDescent="0.2">
      <c r="D23">
        <f>SUM(B19:C22)</f>
        <v>329.5</v>
      </c>
    </row>
    <row r="25" spans="1:4" x14ac:dyDescent="0.2">
      <c r="A25" s="1" t="s">
        <v>183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43.8</v>
      </c>
    </row>
    <row r="27" spans="1:4" x14ac:dyDescent="0.2">
      <c r="A27" t="s">
        <v>4</v>
      </c>
      <c r="B27">
        <v>24.57</v>
      </c>
      <c r="C27">
        <v>24.57</v>
      </c>
    </row>
    <row r="28" spans="1:4" x14ac:dyDescent="0.2">
      <c r="A28" t="s">
        <v>5</v>
      </c>
      <c r="B28">
        <v>5.4</v>
      </c>
      <c r="C28">
        <v>5.4</v>
      </c>
    </row>
    <row r="29" spans="1:4" x14ac:dyDescent="0.2">
      <c r="A29" t="s">
        <v>6</v>
      </c>
      <c r="B29">
        <v>34.380000000000003</v>
      </c>
      <c r="C29">
        <v>34.380000000000003</v>
      </c>
    </row>
    <row r="30" spans="1:4" x14ac:dyDescent="0.2">
      <c r="D30">
        <f>SUM(B26:C29)</f>
        <v>302.5</v>
      </c>
    </row>
    <row r="31" spans="1:4" x14ac:dyDescent="0.2">
      <c r="A31" s="1" t="s">
        <v>184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  <c r="B32">
        <v>130</v>
      </c>
      <c r="C32">
        <v>43.8</v>
      </c>
    </row>
    <row r="33" spans="1:4" x14ac:dyDescent="0.2">
      <c r="A33" t="s">
        <v>4</v>
      </c>
      <c r="B33">
        <v>26.97</v>
      </c>
      <c r="C33">
        <v>26.97</v>
      </c>
    </row>
    <row r="34" spans="1:4" x14ac:dyDescent="0.2">
      <c r="A34" t="s">
        <v>5</v>
      </c>
      <c r="B34">
        <v>19.68</v>
      </c>
      <c r="C34">
        <v>19.68</v>
      </c>
    </row>
    <row r="35" spans="1:4" x14ac:dyDescent="0.2">
      <c r="A35" t="s">
        <v>6</v>
      </c>
      <c r="B35">
        <v>36.78</v>
      </c>
      <c r="C35">
        <v>36.78</v>
      </c>
    </row>
    <row r="36" spans="1:4" x14ac:dyDescent="0.2">
      <c r="D36">
        <f>SUM(B32:C35)</f>
        <v>340.65999999999997</v>
      </c>
    </row>
    <row r="38" spans="1:4" x14ac:dyDescent="0.2">
      <c r="A38" t="s">
        <v>185</v>
      </c>
      <c r="D38">
        <f>D36+D30+D23+D15+D7</f>
        <v>1642.46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2D43-EF34-483B-8DC3-93AF427AC09A}">
  <dimension ref="A1:D38"/>
  <sheetViews>
    <sheetView view="pageBreakPreview" zoomScaleNormal="100" workbookViewId="0">
      <selection activeCell="J20" sqref="J2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187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46.2</v>
      </c>
    </row>
    <row r="4" spans="1:4" x14ac:dyDescent="0.2">
      <c r="A4" t="s">
        <v>4</v>
      </c>
      <c r="B4">
        <v>26.97</v>
      </c>
      <c r="C4">
        <v>26.97</v>
      </c>
    </row>
    <row r="5" spans="1:4" x14ac:dyDescent="0.2">
      <c r="A5" t="s">
        <v>5</v>
      </c>
      <c r="B5">
        <v>27.56</v>
      </c>
      <c r="C5">
        <v>27.56</v>
      </c>
    </row>
    <row r="6" spans="1:4" x14ac:dyDescent="0.2">
      <c r="A6" t="s">
        <v>6</v>
      </c>
      <c r="B6">
        <v>36.78</v>
      </c>
      <c r="C6">
        <v>36.78</v>
      </c>
    </row>
    <row r="7" spans="1:4" x14ac:dyDescent="0.2">
      <c r="D7">
        <f>SUM(B3:C6)</f>
        <v>358.81999999999994</v>
      </c>
    </row>
    <row r="10" spans="1:4" x14ac:dyDescent="0.2">
      <c r="A10" s="1" t="s">
        <v>188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34.979999999999997</v>
      </c>
      <c r="C14">
        <v>34.979999999999997</v>
      </c>
    </row>
    <row r="15" spans="1:4" x14ac:dyDescent="0.2">
      <c r="D15">
        <f>SUM(B11:C14)</f>
        <v>338.98</v>
      </c>
    </row>
    <row r="18" spans="1:4" x14ac:dyDescent="0.2">
      <c r="A18" s="1" t="s">
        <v>189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34.979999999999997</v>
      </c>
      <c r="C22">
        <v>34.979999999999997</v>
      </c>
    </row>
    <row r="23" spans="1:4" x14ac:dyDescent="0.2">
      <c r="D23">
        <f>SUM(B19:C22)</f>
        <v>338.98</v>
      </c>
    </row>
    <row r="25" spans="1:4" x14ac:dyDescent="0.2">
      <c r="A25" s="1" t="s">
        <v>190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27.98</v>
      </c>
      <c r="C29">
        <v>27.98</v>
      </c>
    </row>
    <row r="30" spans="1:4" x14ac:dyDescent="0.2">
      <c r="D30">
        <f>SUM(B26:C29)</f>
        <v>324.98</v>
      </c>
    </row>
    <row r="31" spans="1:4" x14ac:dyDescent="0.2">
      <c r="A31" s="1" t="s">
        <v>134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1361.76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DBFC-DA7F-4E09-90C7-22B9C24B2293}">
  <dimension ref="A1:D38"/>
  <sheetViews>
    <sheetView view="pageBreakPreview" zoomScaleNormal="100" workbookViewId="0">
      <selection activeCell="C30" sqref="C3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191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21.65</v>
      </c>
      <c r="C5">
        <v>21.5</v>
      </c>
    </row>
    <row r="6" spans="1:4" x14ac:dyDescent="0.2">
      <c r="A6" t="s">
        <v>6</v>
      </c>
      <c r="B6">
        <v>34.979999999999997</v>
      </c>
      <c r="C6">
        <v>34.979999999999997</v>
      </c>
    </row>
    <row r="7" spans="1:4" x14ac:dyDescent="0.2">
      <c r="D7">
        <f>SUM(B3:C6)</f>
        <v>337.73</v>
      </c>
    </row>
    <row r="10" spans="1:4" x14ac:dyDescent="0.2">
      <c r="A10" s="1" t="s">
        <v>192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31.92</v>
      </c>
      <c r="C14">
        <v>31.92</v>
      </c>
    </row>
    <row r="15" spans="1:4" x14ac:dyDescent="0.2">
      <c r="D15">
        <f>SUM(B11:C14)</f>
        <v>332.86</v>
      </c>
    </row>
    <row r="18" spans="1:4" x14ac:dyDescent="0.2">
      <c r="A18" s="1" t="s">
        <v>193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34.979999999999997</v>
      </c>
      <c r="C22">
        <v>34.979999999999997</v>
      </c>
    </row>
    <row r="23" spans="1:4" x14ac:dyDescent="0.2">
      <c r="D23">
        <f>SUM(B19:C22)</f>
        <v>338.98</v>
      </c>
    </row>
    <row r="25" spans="1:4" x14ac:dyDescent="0.2">
      <c r="A25" s="1" t="s">
        <v>194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34.979999999999997</v>
      </c>
      <c r="C29">
        <v>34.979999999999997</v>
      </c>
    </row>
    <row r="30" spans="1:4" x14ac:dyDescent="0.2">
      <c r="D30">
        <f>SUM(B26:C29)</f>
        <v>338.98</v>
      </c>
    </row>
    <row r="31" spans="1:4" x14ac:dyDescent="0.2">
      <c r="A31" s="1" t="s">
        <v>134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1348.5500000000002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F7A0-65D8-42CC-93DE-7965CE43E104}">
  <dimension ref="A1:D38"/>
  <sheetViews>
    <sheetView view="pageBreakPreview" zoomScaleNormal="100" workbookViewId="0">
      <selection activeCell="A26" sqref="A2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195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34.979999999999997</v>
      </c>
      <c r="C6">
        <v>34.979999999999997</v>
      </c>
    </row>
    <row r="7" spans="1:4" x14ac:dyDescent="0.2">
      <c r="D7">
        <f>SUM(B3:C6)</f>
        <v>338.98</v>
      </c>
    </row>
    <row r="10" spans="1:4" x14ac:dyDescent="0.2">
      <c r="A10" s="1" t="s">
        <v>196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34.979999999999997</v>
      </c>
      <c r="C14">
        <v>34.979999999999997</v>
      </c>
    </row>
    <row r="15" spans="1:4" x14ac:dyDescent="0.2">
      <c r="D15">
        <f>SUM(B11:C14)</f>
        <v>338.98</v>
      </c>
    </row>
    <row r="18" spans="1:4" x14ac:dyDescent="0.2">
      <c r="A18" s="1" t="s">
        <v>197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32.79</v>
      </c>
      <c r="C22">
        <v>32.79</v>
      </c>
    </row>
    <row r="23" spans="1:4" x14ac:dyDescent="0.2">
      <c r="D23">
        <f>SUM(B19:C22)</f>
        <v>334.6</v>
      </c>
    </row>
    <row r="25" spans="1:4" x14ac:dyDescent="0.2">
      <c r="A25" s="1" t="s">
        <v>198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34.979999999999997</v>
      </c>
      <c r="C29">
        <v>34.979999999999997</v>
      </c>
    </row>
    <row r="30" spans="1:4" x14ac:dyDescent="0.2">
      <c r="D30">
        <f>SUM(B26:C29)</f>
        <v>338.98</v>
      </c>
    </row>
    <row r="31" spans="1:4" x14ac:dyDescent="0.2">
      <c r="A31" s="1" t="s">
        <v>134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1351.54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CEC8-BF46-4BEC-AA1B-49204F339B7E}">
  <dimension ref="A1:D38"/>
  <sheetViews>
    <sheetView view="pageBreakPreview" zoomScaleNormal="100" workbookViewId="0">
      <selection activeCell="D39" sqref="D3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199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33.229999999999997</v>
      </c>
      <c r="C6">
        <v>33.229999999999997</v>
      </c>
    </row>
    <row r="7" spans="1:4" x14ac:dyDescent="0.2">
      <c r="D7">
        <f>SUM(B3:C6)</f>
        <v>335.48</v>
      </c>
    </row>
    <row r="10" spans="1:4" x14ac:dyDescent="0.2">
      <c r="A10" s="1" t="s">
        <v>200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34.54</v>
      </c>
      <c r="C14">
        <v>34.54</v>
      </c>
    </row>
    <row r="15" spans="1:4" x14ac:dyDescent="0.2">
      <c r="D15">
        <f>SUM(B11:C14)</f>
        <v>338.1</v>
      </c>
    </row>
    <row r="18" spans="1:4" x14ac:dyDescent="0.2">
      <c r="A18" s="1" t="s">
        <v>201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34.979999999999997</v>
      </c>
      <c r="C22">
        <v>34.979999999999997</v>
      </c>
    </row>
    <row r="23" spans="1:4" x14ac:dyDescent="0.2">
      <c r="D23">
        <f>SUM(B19:C22)</f>
        <v>338.98</v>
      </c>
    </row>
    <row r="25" spans="1:4" x14ac:dyDescent="0.2">
      <c r="A25" s="1" t="s">
        <v>202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19.989999999999998</v>
      </c>
      <c r="C28">
        <v>19.989999999999998</v>
      </c>
    </row>
    <row r="29" spans="1:4" x14ac:dyDescent="0.2">
      <c r="A29" t="s">
        <v>6</v>
      </c>
      <c r="B29">
        <v>31.48</v>
      </c>
      <c r="C29">
        <v>31.48</v>
      </c>
    </row>
    <row r="30" spans="1:4" x14ac:dyDescent="0.2">
      <c r="D30">
        <f>SUM(B26:C29)</f>
        <v>327.56000000000006</v>
      </c>
    </row>
    <row r="31" spans="1:4" x14ac:dyDescent="0.2">
      <c r="A31" s="1" t="s">
        <v>134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1340.1200000000001</v>
      </c>
    </row>
  </sheetData>
  <phoneticPr fontId="2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BA0A-5EC0-4E19-9D4F-B2D7824E44B3}">
  <dimension ref="A1:D38"/>
  <sheetViews>
    <sheetView view="pageBreakPreview" topLeftCell="A7" zoomScaleNormal="100" workbookViewId="0">
      <selection activeCell="C30" sqref="C3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203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19.98</v>
      </c>
      <c r="C5">
        <v>19.98</v>
      </c>
    </row>
    <row r="6" spans="1:4" x14ac:dyDescent="0.2">
      <c r="A6" t="s">
        <v>6</v>
      </c>
      <c r="B6">
        <v>34.979999999999997</v>
      </c>
      <c r="C6">
        <v>34.979999999999997</v>
      </c>
    </row>
    <row r="7" spans="1:4" x14ac:dyDescent="0.2">
      <c r="D7">
        <f>SUM(B3:C6)</f>
        <v>334.54</v>
      </c>
    </row>
    <row r="10" spans="1:4" x14ac:dyDescent="0.2">
      <c r="A10" s="1" t="s">
        <v>204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13.95</v>
      </c>
      <c r="C12">
        <v>13.95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34.979999999999997</v>
      </c>
      <c r="C14">
        <v>34.979999999999997</v>
      </c>
    </row>
    <row r="15" spans="1:4" x14ac:dyDescent="0.2">
      <c r="D15">
        <f>SUM(B11:C14)</f>
        <v>316.65999999999997</v>
      </c>
    </row>
    <row r="18" spans="1:4" x14ac:dyDescent="0.2">
      <c r="A18" s="1" t="s">
        <v>205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17.440000000000001</v>
      </c>
      <c r="C20">
        <v>17.440000000000001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34.979999999999997</v>
      </c>
      <c r="C22">
        <v>34.979999999999997</v>
      </c>
    </row>
    <row r="23" spans="1:4" x14ac:dyDescent="0.2">
      <c r="D23">
        <f>SUM(B19:C22)</f>
        <v>323.64</v>
      </c>
    </row>
    <row r="25" spans="1:4" x14ac:dyDescent="0.2">
      <c r="A25" s="1" t="s">
        <v>206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22.32</v>
      </c>
      <c r="C27">
        <v>22.32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34.97</v>
      </c>
      <c r="C29">
        <v>34.979999999999997</v>
      </c>
    </row>
    <row r="30" spans="1:4" x14ac:dyDescent="0.2">
      <c r="D30">
        <f>SUM(B26:C29)</f>
        <v>333.39</v>
      </c>
    </row>
    <row r="31" spans="1:4" x14ac:dyDescent="0.2">
      <c r="A31" s="1" t="s">
        <v>134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1308.23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CF55-E728-47A2-B20D-E8E800AF0254}">
  <dimension ref="A1:D38"/>
  <sheetViews>
    <sheetView view="pageBreakPreview" zoomScaleNormal="100" workbookViewId="0">
      <selection activeCell="C35" sqref="C3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207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34.979999999999997</v>
      </c>
      <c r="C6">
        <v>34.979999999999997</v>
      </c>
    </row>
    <row r="7" spans="1:4" x14ac:dyDescent="0.2">
      <c r="D7">
        <f>SUM(B3:C6)</f>
        <v>338.98</v>
      </c>
    </row>
    <row r="10" spans="1:4" x14ac:dyDescent="0.2">
      <c r="A10" s="1" t="s">
        <v>208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34.979999999999997</v>
      </c>
      <c r="C14">
        <v>34.979999999999997</v>
      </c>
    </row>
    <row r="15" spans="1:4" x14ac:dyDescent="0.2">
      <c r="D15">
        <f>SUM(B11:C14)</f>
        <v>338.98</v>
      </c>
    </row>
    <row r="18" spans="1:4" x14ac:dyDescent="0.2">
      <c r="A18" s="1" t="s">
        <v>209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34.979999999999997</v>
      </c>
      <c r="C22">
        <v>34.979999999999997</v>
      </c>
    </row>
    <row r="23" spans="1:4" x14ac:dyDescent="0.2">
      <c r="D23">
        <f>SUM(B19:C22)</f>
        <v>338.98</v>
      </c>
    </row>
    <row r="25" spans="1:4" x14ac:dyDescent="0.2">
      <c r="A25" s="1" t="s">
        <v>210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17.21</v>
      </c>
      <c r="C28">
        <v>17.21</v>
      </c>
    </row>
    <row r="29" spans="1:4" x14ac:dyDescent="0.2">
      <c r="A29" t="s">
        <v>6</v>
      </c>
      <c r="B29">
        <v>34.97</v>
      </c>
      <c r="C29">
        <v>34.979999999999997</v>
      </c>
    </row>
    <row r="30" spans="1:4" x14ac:dyDescent="0.2">
      <c r="D30">
        <f>SUM(B26:C29)</f>
        <v>328.99</v>
      </c>
    </row>
    <row r="31" spans="1:4" x14ac:dyDescent="0.2">
      <c r="A31" s="1" t="s">
        <v>134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1345.93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B985-5BB4-42EF-86C4-8F575F75218B}">
  <dimension ref="A1:D38"/>
  <sheetViews>
    <sheetView view="pageBreakPreview" zoomScaleNormal="100" workbookViewId="0">
      <selection activeCell="G30" sqref="G3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211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34.979999999999997</v>
      </c>
      <c r="C6">
        <v>34.979999999999997</v>
      </c>
    </row>
    <row r="7" spans="1:4" x14ac:dyDescent="0.2">
      <c r="D7">
        <f>SUM(B3:C6)</f>
        <v>338.98</v>
      </c>
    </row>
    <row r="10" spans="1:4" x14ac:dyDescent="0.2">
      <c r="A10" s="1" t="s">
        <v>212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17.760000000000002</v>
      </c>
      <c r="C13">
        <v>17.760000000000002</v>
      </c>
    </row>
    <row r="14" spans="1:4" x14ac:dyDescent="0.2">
      <c r="A14" t="s">
        <v>6</v>
      </c>
      <c r="B14">
        <v>34.979999999999997</v>
      </c>
      <c r="C14">
        <v>34.979999999999997</v>
      </c>
    </row>
    <row r="15" spans="1:4" x14ac:dyDescent="0.2">
      <c r="D15">
        <f>SUM(B11:C14)</f>
        <v>330.1</v>
      </c>
    </row>
    <row r="18" spans="1:4" x14ac:dyDescent="0.2">
      <c r="A18" s="1" t="s">
        <v>213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34.979999999999997</v>
      </c>
      <c r="C22">
        <v>34.979999999999997</v>
      </c>
    </row>
    <row r="23" spans="1:4" x14ac:dyDescent="0.2">
      <c r="D23">
        <f>SUM(B19:C22)</f>
        <v>338.98</v>
      </c>
    </row>
    <row r="25" spans="1:4" x14ac:dyDescent="0.2">
      <c r="A25" s="1" t="s">
        <v>214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30.17</v>
      </c>
      <c r="C29">
        <v>30.17</v>
      </c>
    </row>
    <row r="30" spans="1:4" x14ac:dyDescent="0.2">
      <c r="D30">
        <f>SUM(B26:C29)</f>
        <v>329.36</v>
      </c>
    </row>
    <row r="31" spans="1:4" x14ac:dyDescent="0.2">
      <c r="A31" s="1" t="s">
        <v>134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1337.42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DDAB-E94B-4B1D-B7F5-157F6A34421C}">
  <dimension ref="A1:D38"/>
  <sheetViews>
    <sheetView view="pageBreakPreview" zoomScaleNormal="100" workbookViewId="0">
      <selection activeCell="C36" sqref="C3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 t="s">
        <v>215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17.760000000000002</v>
      </c>
      <c r="C5">
        <v>17.760000000000002</v>
      </c>
    </row>
    <row r="6" spans="1:4" x14ac:dyDescent="0.2">
      <c r="A6" t="s">
        <v>6</v>
      </c>
      <c r="B6">
        <v>34.979999999999997</v>
      </c>
      <c r="C6">
        <v>34.979999999999997</v>
      </c>
    </row>
    <row r="7" spans="1:4" x14ac:dyDescent="0.2">
      <c r="D7">
        <f>SUM(B3:C6)</f>
        <v>330.1</v>
      </c>
    </row>
    <row r="10" spans="1:4" x14ac:dyDescent="0.2">
      <c r="A10" s="1" t="s">
        <v>216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14.65</v>
      </c>
      <c r="C12">
        <v>14.65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36.29</v>
      </c>
      <c r="C14">
        <v>36.29</v>
      </c>
    </row>
    <row r="15" spans="1:4" x14ac:dyDescent="0.2">
      <c r="D15">
        <f>SUM(B11:C14)</f>
        <v>320.68</v>
      </c>
    </row>
    <row r="18" spans="1:4" x14ac:dyDescent="0.2">
      <c r="A18" s="1" t="s">
        <v>217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19.53</v>
      </c>
      <c r="C20">
        <v>19.53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34.979999999999997</v>
      </c>
      <c r="C22">
        <v>34.979999999999997</v>
      </c>
    </row>
    <row r="23" spans="1:4" x14ac:dyDescent="0.2">
      <c r="D23">
        <f>SUM(B19:C22)</f>
        <v>327.82000000000005</v>
      </c>
    </row>
    <row r="25" spans="1:4" x14ac:dyDescent="0.2">
      <c r="A25" s="1" t="s">
        <v>218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34.979999999999997</v>
      </c>
      <c r="C29">
        <v>34.979999999999997</v>
      </c>
    </row>
    <row r="30" spans="1:4" x14ac:dyDescent="0.2">
      <c r="D30">
        <f>SUM(B26:C29)</f>
        <v>338.98</v>
      </c>
    </row>
    <row r="31" spans="1:4" x14ac:dyDescent="0.2">
      <c r="A31" s="1" t="s">
        <v>219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  <c r="B32">
        <v>130</v>
      </c>
      <c r="C32">
        <v>44.4</v>
      </c>
    </row>
    <row r="33" spans="1:4" x14ac:dyDescent="0.2">
      <c r="A33" t="s">
        <v>4</v>
      </c>
      <c r="B33">
        <v>25.11</v>
      </c>
      <c r="C33">
        <v>25.11</v>
      </c>
    </row>
    <row r="34" spans="1:4" x14ac:dyDescent="0.2">
      <c r="A34" t="s">
        <v>5</v>
      </c>
      <c r="B34">
        <v>22.9</v>
      </c>
      <c r="C34">
        <v>22.9</v>
      </c>
    </row>
    <row r="35" spans="1:4" x14ac:dyDescent="0.2">
      <c r="A35" t="s">
        <v>6</v>
      </c>
      <c r="B35">
        <v>34.979999999999997</v>
      </c>
      <c r="C35">
        <v>34.979999999999997</v>
      </c>
    </row>
    <row r="36" spans="1:4" x14ac:dyDescent="0.2">
      <c r="D36">
        <f>SUM(B32:C35)</f>
        <v>340.38000000000005</v>
      </c>
    </row>
    <row r="38" spans="1:4" x14ac:dyDescent="0.2">
      <c r="A38" t="s">
        <v>186</v>
      </c>
      <c r="D38">
        <f>D36+D30+D23+D15+D7</f>
        <v>1657.96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F62B-2775-4E46-BCAF-46E7E9C09AB1}">
  <dimension ref="A1:D38"/>
  <sheetViews>
    <sheetView view="pageBreakPreview" zoomScaleNormal="100" workbookViewId="0">
      <selection activeCell="E47" sqref="E47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>
        <v>41400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34.979999999999997</v>
      </c>
      <c r="C6">
        <v>34.979999999999997</v>
      </c>
    </row>
    <row r="7" spans="1:4" x14ac:dyDescent="0.2">
      <c r="D7">
        <f>SUM(B3:C6)</f>
        <v>338.98</v>
      </c>
    </row>
    <row r="10" spans="1:4" x14ac:dyDescent="0.2">
      <c r="A10" s="1" t="s">
        <v>220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33.229999999999997</v>
      </c>
      <c r="C14">
        <v>33.229999999999997</v>
      </c>
    </row>
    <row r="15" spans="1:4" x14ac:dyDescent="0.2">
      <c r="D15">
        <f>SUM(B11:C14)</f>
        <v>335.48</v>
      </c>
    </row>
    <row r="18" spans="1:4" x14ac:dyDescent="0.2">
      <c r="A18" s="1" t="s">
        <v>221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34.979999999999997</v>
      </c>
      <c r="C22">
        <v>34.979999999999997</v>
      </c>
    </row>
    <row r="23" spans="1:4" x14ac:dyDescent="0.2">
      <c r="D23">
        <f>SUM(B19:C22)</f>
        <v>338.98</v>
      </c>
    </row>
    <row r="25" spans="1:4" x14ac:dyDescent="0.2">
      <c r="A25" s="1" t="s">
        <v>222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34.979999999999997</v>
      </c>
      <c r="C29">
        <v>34.979999999999997</v>
      </c>
    </row>
    <row r="30" spans="1:4" x14ac:dyDescent="0.2">
      <c r="D30">
        <f>SUM(B26:C29)</f>
        <v>338.98</v>
      </c>
    </row>
    <row r="31" spans="1:4" x14ac:dyDescent="0.2">
      <c r="A31" s="1" t="s">
        <v>151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1352.42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18AC-DA59-4FA5-B755-006D83628EAD}">
  <dimension ref="A1:D38"/>
  <sheetViews>
    <sheetView view="pageBreakPreview" zoomScaleNormal="100" workbookViewId="0">
      <selection activeCell="D45" sqref="D4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>
        <v>41428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34.979999999999997</v>
      </c>
      <c r="C6">
        <v>34.979999999999997</v>
      </c>
    </row>
    <row r="7" spans="1:4" x14ac:dyDescent="0.2">
      <c r="D7">
        <f>SUM(B3:C6)</f>
        <v>338.98</v>
      </c>
    </row>
    <row r="10" spans="1:4" x14ac:dyDescent="0.2">
      <c r="A10" s="1" t="s">
        <v>223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20.95</v>
      </c>
      <c r="C13">
        <v>20.95</v>
      </c>
    </row>
    <row r="14" spans="1:4" x14ac:dyDescent="0.2">
      <c r="A14" t="s">
        <v>6</v>
      </c>
      <c r="B14">
        <v>34.979999999999997</v>
      </c>
      <c r="C14">
        <v>34.979999999999997</v>
      </c>
    </row>
    <row r="15" spans="1:4" x14ac:dyDescent="0.2">
      <c r="D15">
        <f>SUM(B11:C14)</f>
        <v>336.48</v>
      </c>
    </row>
    <row r="18" spans="1:4" x14ac:dyDescent="0.2">
      <c r="A18" s="1" t="s">
        <v>224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27.98</v>
      </c>
      <c r="C22">
        <v>27.98</v>
      </c>
    </row>
    <row r="23" spans="1:4" x14ac:dyDescent="0.2">
      <c r="D23">
        <f>SUM(B19:C22)</f>
        <v>324.98</v>
      </c>
    </row>
    <row r="25" spans="1:4" x14ac:dyDescent="0.2">
      <c r="A25" s="1" t="s">
        <v>225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34.979999999999997</v>
      </c>
      <c r="C29">
        <v>34.979999999999997</v>
      </c>
    </row>
    <row r="30" spans="1:4" x14ac:dyDescent="0.2">
      <c r="D30">
        <f>SUM(B26:C29)</f>
        <v>338.98</v>
      </c>
    </row>
    <row r="31" spans="1:4" x14ac:dyDescent="0.2">
      <c r="A31" s="1" t="s">
        <v>151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1339.42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7692-1FA9-452A-A23E-86DD1B85D2D9}">
  <dimension ref="A1:D38"/>
  <sheetViews>
    <sheetView view="pageBreakPreview" zoomScaleNormal="100" workbookViewId="0">
      <selection activeCell="C30" sqref="C3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>
        <v>41463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31.04</v>
      </c>
      <c r="C6">
        <v>31.04</v>
      </c>
    </row>
    <row r="7" spans="1:4" x14ac:dyDescent="0.2">
      <c r="D7">
        <f>SUM(B3:C6)</f>
        <v>331.1</v>
      </c>
    </row>
    <row r="10" spans="1:4" x14ac:dyDescent="0.2">
      <c r="A10" s="1" t="s">
        <v>226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27.9</v>
      </c>
      <c r="C12">
        <v>27.9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6.12</v>
      </c>
      <c r="C14">
        <v>6.12</v>
      </c>
    </row>
    <row r="15" spans="1:4" x14ac:dyDescent="0.2">
      <c r="D15">
        <f>SUM(B11:C14)</f>
        <v>286.84000000000003</v>
      </c>
    </row>
    <row r="18" spans="1:4" x14ac:dyDescent="0.2">
      <c r="A18" s="1" t="s">
        <v>227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6.12</v>
      </c>
      <c r="C22">
        <v>6.12</v>
      </c>
    </row>
    <row r="23" spans="1:4" x14ac:dyDescent="0.2">
      <c r="D23">
        <f>SUM(B19:C22)</f>
        <v>281.26</v>
      </c>
    </row>
    <row r="25" spans="1:4" x14ac:dyDescent="0.2">
      <c r="A25" s="1" t="s">
        <v>228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17.489999999999998</v>
      </c>
      <c r="C29">
        <v>17.489999999999998</v>
      </c>
    </row>
    <row r="30" spans="1:4" x14ac:dyDescent="0.2">
      <c r="D30">
        <f>SUM(B26:C29)</f>
        <v>304</v>
      </c>
    </row>
    <row r="31" spans="1:4" x14ac:dyDescent="0.2">
      <c r="A31" s="1" t="s">
        <v>151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1203.2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CBA3-B31D-471B-9B84-2EBF0CF39525}">
  <dimension ref="A1:D38"/>
  <sheetViews>
    <sheetView view="pageBreakPreview" zoomScaleNormal="100" workbookViewId="0">
      <selection activeCell="I42" sqref="I42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>
        <v>41491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22.74</v>
      </c>
      <c r="C6">
        <v>22.74</v>
      </c>
    </row>
    <row r="7" spans="1:4" x14ac:dyDescent="0.2">
      <c r="D7">
        <f>SUM(B3:C6)</f>
        <v>314.5</v>
      </c>
    </row>
    <row r="10" spans="1:4" x14ac:dyDescent="0.2">
      <c r="A10" s="1" t="s">
        <v>229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27.9</v>
      </c>
      <c r="C12">
        <v>27.9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34.979999999999997</v>
      </c>
      <c r="C14">
        <v>34.979999999999997</v>
      </c>
    </row>
    <row r="15" spans="1:4" x14ac:dyDescent="0.2">
      <c r="D15">
        <f>SUM(B11:C14)</f>
        <v>344.56000000000006</v>
      </c>
    </row>
    <row r="18" spans="1:4" x14ac:dyDescent="0.2">
      <c r="A18" s="1" t="s">
        <v>230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19.98</v>
      </c>
      <c r="C21">
        <v>19.98</v>
      </c>
    </row>
    <row r="22" spans="1:4" x14ac:dyDescent="0.2">
      <c r="A22" t="s">
        <v>6</v>
      </c>
      <c r="B22">
        <v>24.49</v>
      </c>
      <c r="C22">
        <v>24.49</v>
      </c>
    </row>
    <row r="23" spans="1:4" x14ac:dyDescent="0.2">
      <c r="D23">
        <f>SUM(B19:C22)</f>
        <v>313.56</v>
      </c>
    </row>
    <row r="25" spans="1:4" x14ac:dyDescent="0.2">
      <c r="A25" s="1" t="s">
        <v>231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19.98</v>
      </c>
      <c r="C28">
        <v>19.98</v>
      </c>
    </row>
    <row r="29" spans="1:4" x14ac:dyDescent="0.2">
      <c r="A29" t="s">
        <v>6</v>
      </c>
      <c r="B29">
        <v>7.5</v>
      </c>
      <c r="C29">
        <v>7.5</v>
      </c>
    </row>
    <row r="30" spans="1:4" x14ac:dyDescent="0.2">
      <c r="D30">
        <f>SUM(B26:C29)</f>
        <v>279.58</v>
      </c>
    </row>
    <row r="31" spans="1:4" x14ac:dyDescent="0.2">
      <c r="A31" s="1" t="s">
        <v>232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  <c r="B32">
        <v>130</v>
      </c>
      <c r="C32">
        <v>44.4</v>
      </c>
    </row>
    <row r="33" spans="1:4" x14ac:dyDescent="0.2">
      <c r="A33" t="s">
        <v>4</v>
      </c>
      <c r="B33">
        <v>25.11</v>
      </c>
      <c r="C33">
        <v>25.11</v>
      </c>
    </row>
    <row r="34" spans="1:4" x14ac:dyDescent="0.2">
      <c r="A34" t="s">
        <v>5</v>
      </c>
      <c r="B34">
        <v>21.51</v>
      </c>
      <c r="C34">
        <v>21.51</v>
      </c>
    </row>
    <row r="35" spans="1:4" x14ac:dyDescent="0.2">
      <c r="A35" t="s">
        <v>6</v>
      </c>
      <c r="B35">
        <v>16.18</v>
      </c>
      <c r="C35">
        <v>16.18</v>
      </c>
    </row>
    <row r="36" spans="1:4" x14ac:dyDescent="0.2">
      <c r="D36">
        <f>SUM(B32:C35)</f>
        <v>300</v>
      </c>
    </row>
    <row r="38" spans="1:4" x14ac:dyDescent="0.2">
      <c r="A38" t="s">
        <v>186</v>
      </c>
      <c r="D38">
        <f>D36+D30+D23+D15+D7</f>
        <v>1552.1999999999998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3705-E1B5-4028-9A4D-2F2A1B694E63}">
  <dimension ref="A1:D38"/>
  <sheetViews>
    <sheetView view="pageBreakPreview" zoomScaleNormal="100" workbookViewId="0">
      <selection activeCell="C32" sqref="C32:C3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>
        <v>41526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31.04</v>
      </c>
      <c r="C6">
        <v>31.04</v>
      </c>
    </row>
    <row r="7" spans="1:4" x14ac:dyDescent="0.2">
      <c r="D7">
        <f>SUM(B3:C6)</f>
        <v>331.1</v>
      </c>
    </row>
    <row r="10" spans="1:4" x14ac:dyDescent="0.2">
      <c r="A10" s="1" t="s">
        <v>233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19.98</v>
      </c>
      <c r="C13">
        <v>19.98</v>
      </c>
    </row>
    <row r="14" spans="1:4" x14ac:dyDescent="0.2">
      <c r="A14" t="s">
        <v>6</v>
      </c>
      <c r="B14">
        <v>8.75</v>
      </c>
      <c r="C14">
        <v>8.75</v>
      </c>
    </row>
    <row r="15" spans="1:4" x14ac:dyDescent="0.2">
      <c r="D15">
        <f>SUM(B11:C14)</f>
        <v>282.08</v>
      </c>
    </row>
    <row r="18" spans="1:4" x14ac:dyDescent="0.2">
      <c r="A18" s="1" t="s">
        <v>234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17.489999999999998</v>
      </c>
      <c r="C22">
        <v>17.489999999999998</v>
      </c>
    </row>
    <row r="23" spans="1:4" x14ac:dyDescent="0.2">
      <c r="D23">
        <f>SUM(B19:C22)</f>
        <v>304</v>
      </c>
    </row>
    <row r="25" spans="1:4" x14ac:dyDescent="0.2">
      <c r="A25" s="1" t="s">
        <v>235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26.24</v>
      </c>
      <c r="C29">
        <v>26.24</v>
      </c>
    </row>
    <row r="30" spans="1:4" x14ac:dyDescent="0.2">
      <c r="D30">
        <f>SUM(B26:C29)</f>
        <v>321.5</v>
      </c>
    </row>
    <row r="31" spans="1:4" x14ac:dyDescent="0.2">
      <c r="A31" s="1" t="s">
        <v>151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1238.6799999999998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62A8-C583-4B7A-A610-3F74E24A44DE}">
  <dimension ref="A1:D38"/>
  <sheetViews>
    <sheetView view="pageBreakPreview" zoomScaleNormal="100" workbookViewId="0">
      <selection activeCell="D30" sqref="D3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>
        <v>41554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21.92</v>
      </c>
      <c r="C5">
        <v>21.92</v>
      </c>
    </row>
    <row r="6" spans="1:4" x14ac:dyDescent="0.2">
      <c r="A6" t="s">
        <v>6</v>
      </c>
      <c r="B6">
        <v>7</v>
      </c>
      <c r="C6">
        <v>7</v>
      </c>
    </row>
    <row r="7" spans="1:4" x14ac:dyDescent="0.2">
      <c r="D7">
        <f>SUM(B3:C6)</f>
        <v>282.46000000000004</v>
      </c>
    </row>
    <row r="10" spans="1:4" x14ac:dyDescent="0.2">
      <c r="A10" s="1" t="s">
        <v>236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20.99</v>
      </c>
      <c r="C14">
        <v>20.99</v>
      </c>
    </row>
    <row r="15" spans="1:4" x14ac:dyDescent="0.2">
      <c r="D15">
        <f>SUM(B11:C14)</f>
        <v>311</v>
      </c>
    </row>
    <row r="18" spans="1:4" x14ac:dyDescent="0.2">
      <c r="A18" s="1" t="s">
        <v>237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22.74</v>
      </c>
      <c r="C22">
        <v>22.74</v>
      </c>
    </row>
    <row r="23" spans="1:4" x14ac:dyDescent="0.2">
      <c r="D23">
        <f>SUM(B19:C22)</f>
        <v>314.5</v>
      </c>
    </row>
    <row r="25" spans="1:4" x14ac:dyDescent="0.2">
      <c r="A25" s="1" t="s">
        <v>238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21.65</v>
      </c>
      <c r="C28">
        <v>21.65</v>
      </c>
    </row>
    <row r="29" spans="1:4" x14ac:dyDescent="0.2">
      <c r="A29" t="s">
        <v>6</v>
      </c>
      <c r="B29">
        <v>7</v>
      </c>
      <c r="C29">
        <v>7</v>
      </c>
    </row>
    <row r="30" spans="1:4" x14ac:dyDescent="0.2">
      <c r="D30">
        <f>SUM(B26:C29)</f>
        <v>281.92</v>
      </c>
    </row>
    <row r="31" spans="1:4" x14ac:dyDescent="0.2">
      <c r="A31" s="1" t="s">
        <v>151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1189.8800000000001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BFBA-64B4-4F97-9F17-94CD8BDD953D}">
  <dimension ref="A1:D38"/>
  <sheetViews>
    <sheetView view="pageBreakPreview" zoomScaleNormal="100" workbookViewId="0">
      <selection activeCell="B30" sqref="B3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>
        <v>41582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13.32</v>
      </c>
      <c r="C5">
        <v>13.32</v>
      </c>
    </row>
    <row r="6" spans="1:4" x14ac:dyDescent="0.2">
      <c r="A6" t="s">
        <v>6</v>
      </c>
      <c r="B6">
        <v>19.68</v>
      </c>
      <c r="C6">
        <v>19.68</v>
      </c>
    </row>
    <row r="7" spans="1:4" x14ac:dyDescent="0.2">
      <c r="D7">
        <f>SUM(B3:C6)</f>
        <v>290.62</v>
      </c>
    </row>
    <row r="10" spans="1:4" x14ac:dyDescent="0.2">
      <c r="A10" s="1" t="s">
        <v>239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26.24</v>
      </c>
      <c r="C14">
        <v>26.24</v>
      </c>
    </row>
    <row r="15" spans="1:4" x14ac:dyDescent="0.2">
      <c r="D15">
        <f>SUM(B11:C14)</f>
        <v>321.5</v>
      </c>
    </row>
    <row r="18" spans="1:4" x14ac:dyDescent="0.2">
      <c r="A18" s="1" t="s">
        <v>240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20.54</v>
      </c>
      <c r="C21">
        <v>20.54</v>
      </c>
    </row>
    <row r="22" spans="1:4" x14ac:dyDescent="0.2">
      <c r="A22" t="s">
        <v>6</v>
      </c>
      <c r="B22">
        <v>7.43</v>
      </c>
      <c r="C22">
        <v>7.43</v>
      </c>
    </row>
    <row r="23" spans="1:4" x14ac:dyDescent="0.2">
      <c r="D23">
        <f>SUM(B19:C22)</f>
        <v>280.56</v>
      </c>
    </row>
    <row r="25" spans="1:4" x14ac:dyDescent="0.2">
      <c r="A25" s="1" t="s">
        <v>241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28.86</v>
      </c>
      <c r="C29">
        <v>28.86</v>
      </c>
    </row>
    <row r="30" spans="1:4" x14ac:dyDescent="0.2">
      <c r="D30">
        <f>SUM(B26:C29)</f>
        <v>326.74</v>
      </c>
    </row>
    <row r="31" spans="1:4" x14ac:dyDescent="0.2">
      <c r="A31" s="1" t="s">
        <v>151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1219.42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421F-E349-4F14-8F0D-7681A7DA64F9}">
  <dimension ref="A1:D38"/>
  <sheetViews>
    <sheetView view="pageBreakPreview" zoomScaleNormal="100" workbookViewId="0">
      <selection activeCell="C36" sqref="C3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1">
        <v>41610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27.2</v>
      </c>
      <c r="C4">
        <v>27.2</v>
      </c>
    </row>
    <row r="5" spans="1:4" x14ac:dyDescent="0.2">
      <c r="A5" t="s">
        <v>5</v>
      </c>
      <c r="B5">
        <v>19.98</v>
      </c>
      <c r="C5">
        <v>19.98</v>
      </c>
    </row>
    <row r="6" spans="1:4" x14ac:dyDescent="0.2">
      <c r="A6" t="s">
        <v>6</v>
      </c>
      <c r="B6">
        <v>34.979999999999997</v>
      </c>
      <c r="C6">
        <v>34.979999999999997</v>
      </c>
    </row>
    <row r="7" spans="1:4" x14ac:dyDescent="0.2">
      <c r="D7">
        <f>SUM(B3:C6)</f>
        <v>338.72</v>
      </c>
    </row>
    <row r="10" spans="1:4" x14ac:dyDescent="0.2">
      <c r="A10" s="1" t="s">
        <v>242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21.96</v>
      </c>
      <c r="C14">
        <v>21.96</v>
      </c>
    </row>
    <row r="15" spans="1:4" x14ac:dyDescent="0.2">
      <c r="D15">
        <f>SUM(B11:C14)</f>
        <v>312.93999999999994</v>
      </c>
    </row>
    <row r="18" spans="1:4" x14ac:dyDescent="0.2">
      <c r="A18" s="1" t="s">
        <v>243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13.55</v>
      </c>
      <c r="C22">
        <v>13.55</v>
      </c>
    </row>
    <row r="23" spans="1:4" x14ac:dyDescent="0.2">
      <c r="D23">
        <f>SUM(B19:C22)</f>
        <v>296.12</v>
      </c>
    </row>
    <row r="25" spans="1:4" x14ac:dyDescent="0.2">
      <c r="A25" s="1" t="s">
        <v>244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130</v>
      </c>
      <c r="C26">
        <v>44.4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27.98</v>
      </c>
      <c r="C29">
        <v>27.98</v>
      </c>
    </row>
    <row r="30" spans="1:4" x14ac:dyDescent="0.2">
      <c r="D30">
        <f>SUM(B26:C29)</f>
        <v>324.98</v>
      </c>
    </row>
    <row r="31" spans="1:4" x14ac:dyDescent="0.2">
      <c r="A31" s="1" t="s">
        <v>245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  <c r="B32">
        <v>130</v>
      </c>
      <c r="C32">
        <v>44.4</v>
      </c>
    </row>
    <row r="33" spans="1:4" x14ac:dyDescent="0.2">
      <c r="A33" t="s">
        <v>4</v>
      </c>
      <c r="B33">
        <v>25.11</v>
      </c>
      <c r="C33">
        <v>25.11</v>
      </c>
    </row>
    <row r="34" spans="1:4" x14ac:dyDescent="0.2">
      <c r="A34" t="s">
        <v>5</v>
      </c>
      <c r="B34">
        <v>22.2</v>
      </c>
      <c r="C34">
        <v>22.2</v>
      </c>
    </row>
    <row r="35" spans="1:4" x14ac:dyDescent="0.2">
      <c r="A35" t="s">
        <v>6</v>
      </c>
      <c r="B35">
        <v>31.92</v>
      </c>
      <c r="C35">
        <v>31.92</v>
      </c>
    </row>
    <row r="36" spans="1:4" x14ac:dyDescent="0.2">
      <c r="D36">
        <f>SUM(B32:C35)</f>
        <v>332.86</v>
      </c>
    </row>
    <row r="38" spans="1:4" x14ac:dyDescent="0.2">
      <c r="A38" t="s">
        <v>186</v>
      </c>
      <c r="D38">
        <f>D36+D30+D23+D15+D7</f>
        <v>1605.6200000000001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1EE7-74AE-4EDD-9D5E-E465D278741B}">
  <dimension ref="A1:D38"/>
  <sheetViews>
    <sheetView view="pageBreakPreview" zoomScaleNormal="100" workbookViewId="0">
      <selection activeCell="H29" sqref="H2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41645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44.4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17.760000000000002</v>
      </c>
      <c r="C5">
        <v>17.760000000000002</v>
      </c>
    </row>
    <row r="6" spans="1:4" x14ac:dyDescent="0.2">
      <c r="A6" t="s">
        <v>6</v>
      </c>
      <c r="B6">
        <v>26.24</v>
      </c>
      <c r="C6">
        <v>26.24</v>
      </c>
    </row>
    <row r="7" spans="1:4" x14ac:dyDescent="0.2">
      <c r="D7">
        <f>SUM(B3:C6)</f>
        <v>312.62</v>
      </c>
    </row>
    <row r="10" spans="1:4" x14ac:dyDescent="0.2">
      <c r="A10" s="1" t="s">
        <v>246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  <c r="B11">
        <v>130</v>
      </c>
      <c r="C11">
        <v>44.4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18.87</v>
      </c>
      <c r="C13">
        <v>18.87</v>
      </c>
    </row>
    <row r="14" spans="1:4" x14ac:dyDescent="0.2">
      <c r="A14" t="s">
        <v>6</v>
      </c>
      <c r="B14">
        <v>16.829999999999998</v>
      </c>
      <c r="C14">
        <v>16.829999999999998</v>
      </c>
    </row>
    <row r="15" spans="1:4" x14ac:dyDescent="0.2">
      <c r="D15">
        <f>SUM(B11:C14)</f>
        <v>296.02</v>
      </c>
    </row>
    <row r="18" spans="1:4" x14ac:dyDescent="0.2">
      <c r="A18" s="1" t="s">
        <v>247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  <c r="B19">
        <v>130</v>
      </c>
      <c r="C19">
        <v>44.4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30.61</v>
      </c>
      <c r="C22">
        <v>30.61</v>
      </c>
    </row>
    <row r="23" spans="1:4" x14ac:dyDescent="0.2">
      <c r="D23">
        <f>SUM(B19:C22)</f>
        <v>330.24</v>
      </c>
    </row>
    <row r="25" spans="1:4" x14ac:dyDescent="0.2">
      <c r="A25" s="1" t="s">
        <v>248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  <c r="B26">
        <v>260</v>
      </c>
      <c r="C26">
        <v>174.4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24.49</v>
      </c>
      <c r="C29">
        <v>24.49</v>
      </c>
    </row>
    <row r="30" spans="1:4" x14ac:dyDescent="0.2">
      <c r="D30">
        <f>SUM(B26:C29)</f>
        <v>578</v>
      </c>
    </row>
    <row r="31" spans="1:4" x14ac:dyDescent="0.2">
      <c r="A31" s="1" t="s">
        <v>151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1516.88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B734-717E-4D78-8573-77EA5B74B0CC}">
  <dimension ref="A1:D38"/>
  <sheetViews>
    <sheetView view="pageBreakPreview" zoomScaleNormal="100" workbookViewId="0">
      <selection activeCell="C35" sqref="C3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41673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  <c r="B3">
        <v>130</v>
      </c>
      <c r="C3">
        <v>130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30.61</v>
      </c>
      <c r="C6">
        <v>30.61</v>
      </c>
    </row>
    <row r="7" spans="1:4" x14ac:dyDescent="0.2">
      <c r="D7">
        <f>SUM(B3:C6)</f>
        <v>415.84000000000003</v>
      </c>
    </row>
    <row r="10" spans="1:4" x14ac:dyDescent="0.2">
      <c r="A10" s="1" t="s">
        <v>249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33.229999999999997</v>
      </c>
      <c r="C14">
        <v>33.229999999999997</v>
      </c>
    </row>
    <row r="15" spans="1:4" x14ac:dyDescent="0.2">
      <c r="D15">
        <f>SUM(B11:C14)</f>
        <v>161.07999999999998</v>
      </c>
    </row>
    <row r="18" spans="1:4" x14ac:dyDescent="0.2">
      <c r="A18" s="1" t="s">
        <v>250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21.37</v>
      </c>
      <c r="C21">
        <v>21.37</v>
      </c>
    </row>
    <row r="22" spans="1:4" x14ac:dyDescent="0.2">
      <c r="A22" t="s">
        <v>6</v>
      </c>
      <c r="B22">
        <v>34.979999999999997</v>
      </c>
      <c r="C22">
        <v>34.979999999999997</v>
      </c>
    </row>
    <row r="23" spans="1:4" x14ac:dyDescent="0.2">
      <c r="D23">
        <f>SUM(B19:C22)</f>
        <v>162.91999999999999</v>
      </c>
    </row>
    <row r="25" spans="1:4" x14ac:dyDescent="0.2">
      <c r="A25" s="1" t="s">
        <v>251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19.98</v>
      </c>
      <c r="C28">
        <v>19.98</v>
      </c>
    </row>
    <row r="29" spans="1:4" x14ac:dyDescent="0.2">
      <c r="A29" t="s">
        <v>6</v>
      </c>
      <c r="B29">
        <v>34.979999999999997</v>
      </c>
      <c r="C29">
        <v>34.979999999999997</v>
      </c>
    </row>
    <row r="30" spans="1:4" x14ac:dyDescent="0.2">
      <c r="D30">
        <f>SUM(B26:C29)</f>
        <v>160.13999999999999</v>
      </c>
    </row>
    <row r="31" spans="1:4" x14ac:dyDescent="0.2">
      <c r="A31" s="1" t="s">
        <v>151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899.98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8678-F8FF-499A-AED9-766AFA0B5ABD}">
  <dimension ref="A1:D38"/>
  <sheetViews>
    <sheetView view="pageBreakPreview" zoomScaleNormal="100" workbookViewId="0">
      <selection activeCell="C34" sqref="C34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41701</v>
      </c>
      <c r="B2" t="s">
        <v>1</v>
      </c>
      <c r="C2" t="s">
        <v>2</v>
      </c>
      <c r="D2" t="s">
        <v>7</v>
      </c>
    </row>
    <row r="3" spans="1:4" x14ac:dyDescent="0.2">
      <c r="A3" t="s">
        <v>3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36.29</v>
      </c>
      <c r="C6">
        <v>36.29</v>
      </c>
    </row>
    <row r="7" spans="1:4" x14ac:dyDescent="0.2">
      <c r="D7">
        <f>SUM(B3:C6)</f>
        <v>167.2</v>
      </c>
    </row>
    <row r="10" spans="1:4" x14ac:dyDescent="0.2">
      <c r="A10" s="7">
        <v>41708</v>
      </c>
      <c r="B10" t="s">
        <v>9</v>
      </c>
      <c r="C10" t="s">
        <v>2</v>
      </c>
      <c r="D10" t="s">
        <v>7</v>
      </c>
    </row>
    <row r="11" spans="1:4" x14ac:dyDescent="0.2">
      <c r="A11" t="s">
        <v>3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22.06</v>
      </c>
      <c r="C13">
        <v>22.06</v>
      </c>
    </row>
    <row r="14" spans="1:4" x14ac:dyDescent="0.2">
      <c r="A14" t="s">
        <v>6</v>
      </c>
      <c r="B14">
        <v>34.979999999999997</v>
      </c>
      <c r="C14">
        <v>34.979999999999997</v>
      </c>
    </row>
    <row r="15" spans="1:4" x14ac:dyDescent="0.2">
      <c r="D15">
        <f>SUM(B11:C14)</f>
        <v>164.29999999999998</v>
      </c>
    </row>
    <row r="18" spans="1:4" x14ac:dyDescent="0.2">
      <c r="A18" s="7">
        <v>41715</v>
      </c>
      <c r="B18" t="s">
        <v>9</v>
      </c>
      <c r="C18" t="s">
        <v>2</v>
      </c>
      <c r="D18" t="s">
        <v>7</v>
      </c>
    </row>
    <row r="19" spans="1:4" x14ac:dyDescent="0.2">
      <c r="A19" t="s">
        <v>3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17.489999999999998</v>
      </c>
      <c r="C22">
        <v>17.489999999999998</v>
      </c>
    </row>
    <row r="23" spans="1:4" x14ac:dyDescent="0.2">
      <c r="D23">
        <f>SUM(B19:C22)</f>
        <v>129.6</v>
      </c>
    </row>
    <row r="25" spans="1:4" x14ac:dyDescent="0.2">
      <c r="A25" s="7">
        <v>41722</v>
      </c>
      <c r="B25" t="s">
        <v>9</v>
      </c>
      <c r="C25" t="s">
        <v>2</v>
      </c>
      <c r="D25" t="s">
        <v>7</v>
      </c>
    </row>
    <row r="26" spans="1:4" x14ac:dyDescent="0.2">
      <c r="A26" t="s">
        <v>3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29" spans="1:4" x14ac:dyDescent="0.2">
      <c r="A29" t="s">
        <v>6</v>
      </c>
      <c r="B29">
        <v>21.86</v>
      </c>
      <c r="C29">
        <v>21.76</v>
      </c>
    </row>
    <row r="30" spans="1:4" x14ac:dyDescent="0.2">
      <c r="D30">
        <f>SUM(B26:C29)</f>
        <v>138.24</v>
      </c>
    </row>
    <row r="31" spans="1:4" x14ac:dyDescent="0.2">
      <c r="A31" s="7">
        <v>41729</v>
      </c>
      <c r="B31" t="s">
        <v>9</v>
      </c>
      <c r="C31" t="s">
        <v>2</v>
      </c>
      <c r="D31" t="s">
        <v>7</v>
      </c>
    </row>
    <row r="32" spans="1:4" x14ac:dyDescent="0.2">
      <c r="A32" t="s">
        <v>3</v>
      </c>
    </row>
    <row r="33" spans="1:4" x14ac:dyDescent="0.2">
      <c r="A33" t="s">
        <v>4</v>
      </c>
      <c r="B33">
        <v>25.11</v>
      </c>
      <c r="C33">
        <v>25.11</v>
      </c>
    </row>
    <row r="34" spans="1:4" x14ac:dyDescent="0.2">
      <c r="A34" t="s">
        <v>5</v>
      </c>
      <c r="B34">
        <v>22.2</v>
      </c>
      <c r="C34">
        <v>22.2</v>
      </c>
    </row>
    <row r="35" spans="1:4" x14ac:dyDescent="0.2">
      <c r="A35" t="s">
        <v>6</v>
      </c>
      <c r="B35">
        <v>25.21</v>
      </c>
      <c r="C35">
        <v>25.21</v>
      </c>
    </row>
    <row r="36" spans="1:4" x14ac:dyDescent="0.2">
      <c r="D36">
        <f>SUM(B32:C35)</f>
        <v>145.04000000000002</v>
      </c>
    </row>
    <row r="38" spans="1:4" x14ac:dyDescent="0.2">
      <c r="A38" t="s">
        <v>186</v>
      </c>
      <c r="D38">
        <f>D36+D30+D23+D15+D7</f>
        <v>744.37999999999988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E801-BB9D-43F3-B059-1E164C157AEA}">
  <dimension ref="A1:D38"/>
  <sheetViews>
    <sheetView view="pageBreakPreview" zoomScaleNormal="100" workbookViewId="0">
      <selection activeCell="I25" sqref="I2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41736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22.3</v>
      </c>
      <c r="C6">
        <v>22.3</v>
      </c>
    </row>
    <row r="7" spans="1:4" x14ac:dyDescent="0.2">
      <c r="D7">
        <f>SUM(B3:C6)</f>
        <v>139.22</v>
      </c>
    </row>
    <row r="10" spans="1:4" x14ac:dyDescent="0.2">
      <c r="A10" s="7">
        <v>41743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28.86</v>
      </c>
      <c r="C14">
        <v>28.86</v>
      </c>
    </row>
    <row r="15" spans="1:4" x14ac:dyDescent="0.2">
      <c r="D15">
        <f>SUM(B11:C14)</f>
        <v>152.34</v>
      </c>
    </row>
    <row r="18" spans="1:4" x14ac:dyDescent="0.2">
      <c r="A18" s="7">
        <v>41750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26.24</v>
      </c>
      <c r="C22">
        <v>26.24</v>
      </c>
    </row>
    <row r="23" spans="1:4" x14ac:dyDescent="0.2">
      <c r="D23">
        <f>SUM(B19:C22)</f>
        <v>147.1</v>
      </c>
    </row>
    <row r="25" spans="1:4" x14ac:dyDescent="0.2">
      <c r="A25" s="7">
        <v>41757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19.98</v>
      </c>
      <c r="C28">
        <v>19.98</v>
      </c>
    </row>
    <row r="29" spans="1:4" x14ac:dyDescent="0.2">
      <c r="A29" t="s">
        <v>6</v>
      </c>
      <c r="B29">
        <v>23.61</v>
      </c>
      <c r="C29">
        <v>23.61</v>
      </c>
    </row>
    <row r="30" spans="1:4" x14ac:dyDescent="0.2">
      <c r="D30">
        <f>SUM(B26:C29)</f>
        <v>137.4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576.06000000000006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85BD-7382-4B25-9EE0-5FC690DFE194}">
  <dimension ref="A1:D38"/>
  <sheetViews>
    <sheetView view="pageBreakPreview" zoomScaleNormal="100" workbookViewId="0">
      <selection activeCell="E45" sqref="E4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41764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6" spans="1:4" x14ac:dyDescent="0.2">
      <c r="A6" t="s">
        <v>6</v>
      </c>
      <c r="B6">
        <v>11.81</v>
      </c>
      <c r="C6">
        <v>11.81</v>
      </c>
    </row>
    <row r="7" spans="1:4" x14ac:dyDescent="0.2">
      <c r="D7">
        <f>SUM(B3:C6)</f>
        <v>118.24000000000001</v>
      </c>
    </row>
    <row r="10" spans="1:4" x14ac:dyDescent="0.2">
      <c r="A10" s="7">
        <v>41771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22.2</v>
      </c>
      <c r="C13">
        <v>22.2</v>
      </c>
    </row>
    <row r="14" spans="1:4" x14ac:dyDescent="0.2">
      <c r="A14" t="s">
        <v>6</v>
      </c>
      <c r="B14">
        <v>17.489999999999998</v>
      </c>
      <c r="C14">
        <v>17.489999999999998</v>
      </c>
    </row>
    <row r="15" spans="1:4" x14ac:dyDescent="0.2">
      <c r="D15">
        <f>SUM(B11:C14)</f>
        <v>129.6</v>
      </c>
    </row>
    <row r="18" spans="1:4" x14ac:dyDescent="0.2">
      <c r="A18" s="7">
        <v>41778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2" spans="1:4" x14ac:dyDescent="0.2">
      <c r="A22" t="s">
        <v>6</v>
      </c>
      <c r="B22">
        <v>11.37</v>
      </c>
      <c r="C22">
        <v>11.37</v>
      </c>
    </row>
    <row r="23" spans="1:4" x14ac:dyDescent="0.2">
      <c r="D23">
        <f>SUM(B19:C22)</f>
        <v>117.36000000000001</v>
      </c>
    </row>
    <row r="25" spans="1:4" x14ac:dyDescent="0.2">
      <c r="A25" s="7">
        <v>41757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20.54</v>
      </c>
      <c r="C28">
        <v>20.54</v>
      </c>
    </row>
    <row r="29" spans="1:4" x14ac:dyDescent="0.2">
      <c r="A29" t="s">
        <v>6</v>
      </c>
      <c r="B29">
        <v>13.99</v>
      </c>
      <c r="C29">
        <v>13.99</v>
      </c>
    </row>
    <row r="30" spans="1:4" x14ac:dyDescent="0.2">
      <c r="D30">
        <f>SUM(B26:C29)</f>
        <v>119.27999999999997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5" spans="1:4" x14ac:dyDescent="0.2">
      <c r="A35" t="s">
        <v>6</v>
      </c>
      <c r="B35">
        <v>13.99</v>
      </c>
      <c r="C35">
        <v>13.99</v>
      </c>
      <c r="D35" t="s">
        <v>252</v>
      </c>
    </row>
    <row r="36" spans="1:4" x14ac:dyDescent="0.2">
      <c r="D36">
        <f>SUM(B32:C35)</f>
        <v>27.98</v>
      </c>
    </row>
    <row r="38" spans="1:4" x14ac:dyDescent="0.2">
      <c r="A38" t="s">
        <v>186</v>
      </c>
      <c r="D38">
        <f>D36+D30+D23+D15+D7</f>
        <v>512.46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6AA2-C61A-4077-99F5-70E435BCA8C3}">
  <dimension ref="A1:D38"/>
  <sheetViews>
    <sheetView view="pageBreakPreview" zoomScaleNormal="100" workbookViewId="0">
      <selection activeCell="C6" sqref="C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41792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25.11</v>
      </c>
      <c r="C4">
        <v>25.11</v>
      </c>
    </row>
    <row r="5" spans="1:4" x14ac:dyDescent="0.2">
      <c r="A5" t="s">
        <v>5</v>
      </c>
      <c r="B5">
        <v>22.2</v>
      </c>
      <c r="C5">
        <v>22.2</v>
      </c>
    </row>
    <row r="7" spans="1:4" x14ac:dyDescent="0.2">
      <c r="D7">
        <f>SUM(B3:C6)</f>
        <v>94.62</v>
      </c>
    </row>
    <row r="10" spans="1:4" x14ac:dyDescent="0.2">
      <c r="A10" s="7">
        <v>41799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25.11</v>
      </c>
      <c r="C12">
        <v>25.11</v>
      </c>
    </row>
    <row r="13" spans="1:4" x14ac:dyDescent="0.2">
      <c r="A13" t="s">
        <v>5</v>
      </c>
      <c r="B13">
        <v>19.98</v>
      </c>
      <c r="C13">
        <v>19.98</v>
      </c>
    </row>
    <row r="15" spans="1:4" x14ac:dyDescent="0.2">
      <c r="D15">
        <f>SUM(B11:C14)</f>
        <v>90.18</v>
      </c>
    </row>
    <row r="18" spans="1:4" x14ac:dyDescent="0.2">
      <c r="A18" s="7">
        <v>41806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25.11</v>
      </c>
      <c r="C20">
        <v>25.11</v>
      </c>
    </row>
    <row r="21" spans="1:4" x14ac:dyDescent="0.2">
      <c r="A21" t="s">
        <v>5</v>
      </c>
      <c r="B21">
        <v>22.2</v>
      </c>
      <c r="C21">
        <v>22.2</v>
      </c>
    </row>
    <row r="23" spans="1:4" x14ac:dyDescent="0.2">
      <c r="D23">
        <f>SUM(B19:C22)</f>
        <v>94.62</v>
      </c>
    </row>
    <row r="25" spans="1:4" x14ac:dyDescent="0.2">
      <c r="A25" s="7">
        <v>41813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25.11</v>
      </c>
      <c r="C27">
        <v>25.11</v>
      </c>
    </row>
    <row r="28" spans="1:4" x14ac:dyDescent="0.2">
      <c r="A28" t="s">
        <v>5</v>
      </c>
      <c r="B28">
        <v>22.2</v>
      </c>
      <c r="C28">
        <v>22.2</v>
      </c>
    </row>
    <row r="30" spans="1:4" x14ac:dyDescent="0.2">
      <c r="D30">
        <f>SUM(B26:C29)</f>
        <v>94.62</v>
      </c>
    </row>
    <row r="31" spans="1:4" x14ac:dyDescent="0.2">
      <c r="A31" s="7">
        <v>41820</v>
      </c>
      <c r="B31" t="s">
        <v>9</v>
      </c>
      <c r="C31" t="s">
        <v>2</v>
      </c>
      <c r="D31" t="s">
        <v>7</v>
      </c>
    </row>
    <row r="33" spans="1:4" x14ac:dyDescent="0.2">
      <c r="A33" t="s">
        <v>4</v>
      </c>
      <c r="B33">
        <v>25.11</v>
      </c>
      <c r="C33">
        <v>25.11</v>
      </c>
    </row>
    <row r="34" spans="1:4" x14ac:dyDescent="0.2">
      <c r="A34" t="s">
        <v>5</v>
      </c>
      <c r="B34">
        <v>21.09</v>
      </c>
      <c r="C34">
        <v>21.09</v>
      </c>
    </row>
    <row r="36" spans="1:4" x14ac:dyDescent="0.2">
      <c r="D36">
        <f>SUM(B32:C35)</f>
        <v>92.4</v>
      </c>
    </row>
    <row r="38" spans="1:4" x14ac:dyDescent="0.2">
      <c r="A38" t="s">
        <v>186</v>
      </c>
      <c r="D38">
        <f>D36+D30+D23+D15+D7</f>
        <v>466.44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6A85-25B5-4888-AD15-FBF99D0DF17C}">
  <dimension ref="A1:D38"/>
  <sheetViews>
    <sheetView view="pageBreakPreview" topLeftCell="A16" zoomScaleNormal="100" workbookViewId="0">
      <selection activeCell="B22" sqref="B22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41827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18.239999999999998</v>
      </c>
      <c r="C5">
        <v>18.239999999999998</v>
      </c>
    </row>
    <row r="7" spans="1:4" x14ac:dyDescent="0.2">
      <c r="D7">
        <f>SUM(B3:C6)</f>
        <v>87.779999999999987</v>
      </c>
    </row>
    <row r="10" spans="1:4" x14ac:dyDescent="0.2">
      <c r="A10" s="7">
        <v>41834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18.239999999999998</v>
      </c>
      <c r="C13">
        <v>18.239999999999998</v>
      </c>
    </row>
    <row r="15" spans="1:4" x14ac:dyDescent="0.2">
      <c r="D15">
        <f>SUM(B11:C14)</f>
        <v>87.779999999999987</v>
      </c>
    </row>
    <row r="18" spans="1:4" x14ac:dyDescent="0.2">
      <c r="A18" s="7">
        <v>41841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18.239999999999998</v>
      </c>
      <c r="C21">
        <v>18.239999999999998</v>
      </c>
    </row>
    <row r="23" spans="1:4" x14ac:dyDescent="0.2">
      <c r="D23">
        <f>SUM(B19:C22)</f>
        <v>87.779999999999987</v>
      </c>
    </row>
    <row r="25" spans="1:4" x14ac:dyDescent="0.2">
      <c r="A25" s="7">
        <v>41848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18.239999999999998</v>
      </c>
      <c r="C28">
        <v>18.239999999999998</v>
      </c>
    </row>
    <row r="30" spans="1:4" x14ac:dyDescent="0.2">
      <c r="D30">
        <f>SUM(B26:C29)</f>
        <v>87.779999999999987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351.11999999999995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4749-E0B4-481E-A488-1FF9FB6035F5}">
  <dimension ref="A1:D38"/>
  <sheetViews>
    <sheetView view="pageBreakPreview" zoomScaleNormal="100" workbookViewId="0">
      <selection activeCell="J17" sqref="J17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41855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11.4</v>
      </c>
      <c r="C5">
        <v>11.4</v>
      </c>
    </row>
    <row r="7" spans="1:4" x14ac:dyDescent="0.2">
      <c r="D7">
        <f>SUM(B3:C6)</f>
        <v>74.099999999999994</v>
      </c>
    </row>
    <row r="10" spans="1:4" x14ac:dyDescent="0.2">
      <c r="A10" s="7">
        <v>41862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18.239999999999998</v>
      </c>
      <c r="C13">
        <v>18.239999999999998</v>
      </c>
    </row>
    <row r="15" spans="1:4" x14ac:dyDescent="0.2">
      <c r="D15">
        <f>SUM(B11:C14)</f>
        <v>87.779999999999987</v>
      </c>
    </row>
    <row r="18" spans="1:4" x14ac:dyDescent="0.2">
      <c r="A18" s="7">
        <v>41869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21.66</v>
      </c>
      <c r="C21">
        <v>21.66</v>
      </c>
    </row>
    <row r="23" spans="1:4" x14ac:dyDescent="0.2">
      <c r="D23">
        <f>SUM(B19:C22)</f>
        <v>94.61999999999999</v>
      </c>
    </row>
    <row r="25" spans="1:4" x14ac:dyDescent="0.2">
      <c r="A25" s="7">
        <v>41876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22.52</v>
      </c>
      <c r="C28">
        <v>22.52</v>
      </c>
    </row>
    <row r="30" spans="1:4" x14ac:dyDescent="0.2">
      <c r="D30">
        <f>SUM(B26:C29)</f>
        <v>96.339999999999989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>
        <v>41880</v>
      </c>
    </row>
    <row r="33" spans="1:4" x14ac:dyDescent="0.2">
      <c r="A33" t="s">
        <v>4</v>
      </c>
      <c r="B33">
        <v>25.65</v>
      </c>
      <c r="C33">
        <v>25.65</v>
      </c>
    </row>
    <row r="34" spans="1:4" x14ac:dyDescent="0.2">
      <c r="A34" t="s">
        <v>5</v>
      </c>
      <c r="B34">
        <v>22.66</v>
      </c>
      <c r="C34">
        <v>22.66</v>
      </c>
    </row>
    <row r="36" spans="1:4" x14ac:dyDescent="0.2">
      <c r="D36">
        <f>SUM(B32:C35)</f>
        <v>96.61999999999999</v>
      </c>
    </row>
    <row r="38" spans="1:4" x14ac:dyDescent="0.2">
      <c r="A38" t="s">
        <v>186</v>
      </c>
      <c r="D38">
        <f>D36+D30+D23+D15+D7</f>
        <v>449.45999999999992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A618-CB28-4BDE-BD2F-FF2CAC459FF2}">
  <dimension ref="A1:D38"/>
  <sheetViews>
    <sheetView view="pageBreakPreview" zoomScaleNormal="100" workbookViewId="0">
      <selection activeCell="C33" sqref="C33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41890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18.239999999999998</v>
      </c>
      <c r="C5">
        <v>18.239999999999998</v>
      </c>
    </row>
    <row r="7" spans="1:4" x14ac:dyDescent="0.2">
      <c r="D7">
        <f>SUM(B3:C6)</f>
        <v>87.779999999999987</v>
      </c>
    </row>
    <row r="10" spans="1:4" x14ac:dyDescent="0.2">
      <c r="A10" s="7">
        <v>41897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96.899999999999991</v>
      </c>
    </row>
    <row r="18" spans="1:4" x14ac:dyDescent="0.2">
      <c r="A18" s="7">
        <v>41904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25.69</v>
      </c>
      <c r="C20">
        <v>25.69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96.98</v>
      </c>
    </row>
    <row r="25" spans="1:4" x14ac:dyDescent="0.2">
      <c r="A25" s="7">
        <v>41911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SUM(B26:C29)</f>
        <v>96.899999999999991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378.55999999999995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B202-8225-4518-A643-22EA57591291}">
  <dimension ref="A1:D38"/>
  <sheetViews>
    <sheetView view="pageBreakPreview" zoomScaleNormal="100" workbookViewId="0">
      <selection activeCell="F46" sqref="F45:F4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 t="s">
        <v>253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21.52</v>
      </c>
      <c r="C5">
        <v>21.52</v>
      </c>
    </row>
    <row r="7" spans="1:4" x14ac:dyDescent="0.2">
      <c r="D7">
        <f>SUM(B3:C6)</f>
        <v>94.339999999999989</v>
      </c>
    </row>
    <row r="10" spans="1:4" x14ac:dyDescent="0.2">
      <c r="A10" s="7">
        <v>41922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96.899999999999991</v>
      </c>
    </row>
    <row r="18" spans="1:4" x14ac:dyDescent="0.2">
      <c r="A18" s="7">
        <v>41932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96.899999999999991</v>
      </c>
    </row>
    <row r="25" spans="1:4" x14ac:dyDescent="0.2">
      <c r="A25" s="7">
        <v>41939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22.23</v>
      </c>
      <c r="C28">
        <v>22.23</v>
      </c>
    </row>
    <row r="30" spans="1:4" x14ac:dyDescent="0.2">
      <c r="D30">
        <f>SUM(B26:C29)</f>
        <v>95.76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383.9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7A1A-8587-4EA9-9F8D-A15551278DC5}">
  <dimension ref="A1:D38"/>
  <sheetViews>
    <sheetView view="pageBreakPreview" zoomScaleNormal="100" workbookViewId="0">
      <selection activeCell="M38" sqref="M38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 t="s">
        <v>254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22.23</v>
      </c>
      <c r="C5">
        <v>22.23</v>
      </c>
    </row>
    <row r="7" spans="1:4" x14ac:dyDescent="0.2">
      <c r="D7">
        <f>SUM(B3:C6)</f>
        <v>95.76</v>
      </c>
    </row>
    <row r="10" spans="1:4" x14ac:dyDescent="0.2">
      <c r="A10" s="7">
        <v>41953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13.68</v>
      </c>
      <c r="C13">
        <v>13.68</v>
      </c>
    </row>
    <row r="15" spans="1:4" x14ac:dyDescent="0.2">
      <c r="D15">
        <f>SUM(B11:C14)</f>
        <v>78.66</v>
      </c>
    </row>
    <row r="18" spans="1:4" x14ac:dyDescent="0.2">
      <c r="A18" s="7">
        <v>41960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17.96</v>
      </c>
      <c r="C21">
        <v>17.96</v>
      </c>
    </row>
    <row r="23" spans="1:4" x14ac:dyDescent="0.2">
      <c r="D23">
        <f>SUM(B19:C22)</f>
        <v>87.22</v>
      </c>
    </row>
    <row r="25" spans="1:4" x14ac:dyDescent="0.2">
      <c r="A25" s="7">
        <v>41967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SUM(B26:C29)</f>
        <v>96.899999999999991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358.53999999999996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EE24-4AF5-432D-BC4D-93481FF08B38}">
  <dimension ref="A1:D38"/>
  <sheetViews>
    <sheetView view="pageBreakPreview" zoomScaleNormal="100" workbookViewId="0">
      <selection activeCell="D25" sqref="D2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 t="s">
        <v>255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28.5</v>
      </c>
      <c r="C4">
        <v>28.5</v>
      </c>
    </row>
    <row r="5" spans="1:4" x14ac:dyDescent="0.2">
      <c r="A5" t="s">
        <v>5</v>
      </c>
      <c r="B5">
        <v>22.52</v>
      </c>
      <c r="C5">
        <v>22.52</v>
      </c>
    </row>
    <row r="7" spans="1:4" x14ac:dyDescent="0.2">
      <c r="D7">
        <f>SUM(B3:C6)</f>
        <v>102.03999999999999</v>
      </c>
    </row>
    <row r="10" spans="1:4" x14ac:dyDescent="0.2">
      <c r="A10" s="7">
        <v>41980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25.65</v>
      </c>
    </row>
    <row r="13" spans="1:4" x14ac:dyDescent="0.2">
      <c r="A13" t="s">
        <v>5</v>
      </c>
      <c r="B13">
        <v>22.8</v>
      </c>
      <c r="C13">
        <v>13.68</v>
      </c>
    </row>
    <row r="15" spans="1:4" x14ac:dyDescent="0.2">
      <c r="D15">
        <f>SUM(B11:C14)</f>
        <v>87.419999999999987</v>
      </c>
    </row>
    <row r="18" spans="1:4" x14ac:dyDescent="0.2">
      <c r="A18" s="7">
        <v>41995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22.23</v>
      </c>
      <c r="C21">
        <v>22.23</v>
      </c>
    </row>
    <row r="23" spans="1:4" x14ac:dyDescent="0.2">
      <c r="D23">
        <f>SUM(B19:C22)</f>
        <v>95.76</v>
      </c>
    </row>
    <row r="25" spans="1:4" x14ac:dyDescent="0.2">
      <c r="A25" s="7">
        <v>42002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SUM(B26:C29)</f>
        <v>96.899999999999991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382.12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94EE-D5EA-4C65-B0B2-8B8502882DA3}">
  <dimension ref="A1:D38"/>
  <sheetViews>
    <sheetView view="pageBreakPreview" topLeftCell="A10" zoomScaleNormal="100" workbookViewId="0">
      <selection activeCell="B28" sqref="B28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 t="s">
        <v>256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19.38</v>
      </c>
      <c r="C5">
        <v>19.38</v>
      </c>
    </row>
    <row r="7" spans="1:4" x14ac:dyDescent="0.2">
      <c r="D7">
        <f>SUM(B3:C6)</f>
        <v>90.059999999999988</v>
      </c>
    </row>
    <row r="10" spans="1:4" x14ac:dyDescent="0.2">
      <c r="A10" s="7" t="s">
        <v>257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16.53</v>
      </c>
      <c r="C13">
        <v>16.53</v>
      </c>
    </row>
    <row r="15" spans="1:4" x14ac:dyDescent="0.2">
      <c r="D15">
        <f>SUM(B11:C14)</f>
        <v>84.36</v>
      </c>
    </row>
    <row r="18" spans="1:4" x14ac:dyDescent="0.2">
      <c r="A18" s="7" t="s">
        <v>258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96.899999999999991</v>
      </c>
    </row>
    <row r="25" spans="1:4" x14ac:dyDescent="0.2">
      <c r="A25" s="7" t="s">
        <v>259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SUM(B26:C29)</f>
        <v>96.899999999999991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368.21999999999997</v>
      </c>
    </row>
  </sheetData>
  <phoneticPr fontId="2" type="noConversion"/>
  <printOptions gridLines="1"/>
  <pageMargins left="0.75" right="0.75" top="1" bottom="1" header="0.5" footer="0.5"/>
  <pageSetup scale="98" orientation="landscape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949B-2D9D-4626-9692-21214D632773}">
  <dimension ref="A1:D38"/>
  <sheetViews>
    <sheetView view="pageBreakPreview" zoomScaleNormal="100" workbookViewId="0">
      <selection activeCell="C29" sqref="C2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42037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21.28</v>
      </c>
      <c r="C5">
        <v>21.28</v>
      </c>
    </row>
    <row r="7" spans="1:4" x14ac:dyDescent="0.2">
      <c r="D7">
        <f>SUM(B3:C6)</f>
        <v>93.86</v>
      </c>
    </row>
    <row r="10" spans="1:4" x14ac:dyDescent="0.2">
      <c r="A10" s="7">
        <v>42044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22.66</v>
      </c>
      <c r="C13">
        <v>22.66</v>
      </c>
    </row>
    <row r="15" spans="1:4" x14ac:dyDescent="0.2">
      <c r="D15">
        <f>SUM(B11:C14)</f>
        <v>96.61999999999999</v>
      </c>
    </row>
    <row r="18" spans="1:4" x14ac:dyDescent="0.2">
      <c r="A18" s="7">
        <v>42048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21.66</v>
      </c>
      <c r="C21">
        <v>21.66</v>
      </c>
    </row>
    <row r="23" spans="1:4" x14ac:dyDescent="0.2">
      <c r="D23">
        <f>SUM(B19:C22)</f>
        <v>94.61999999999999</v>
      </c>
    </row>
    <row r="25" spans="1:4" x14ac:dyDescent="0.2">
      <c r="A25" s="7">
        <v>42058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18.239999999999998</v>
      </c>
      <c r="C28">
        <v>18.239999999999998</v>
      </c>
    </row>
    <row r="30" spans="1:4" x14ac:dyDescent="0.2">
      <c r="D30">
        <f>SUM(B26:C29)</f>
        <v>87.779999999999987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372.88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22EB-FE1B-4011-8D18-A713E13A58AE}">
  <dimension ref="A1:D38"/>
  <sheetViews>
    <sheetView view="pageBreakPreview" zoomScaleNormal="100" workbookViewId="0">
      <selection activeCell="C35" sqref="C3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42065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96.899999999999991</v>
      </c>
    </row>
    <row r="10" spans="1:4" x14ac:dyDescent="0.2">
      <c r="A10" s="7">
        <v>42072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96.899999999999991</v>
      </c>
    </row>
    <row r="18" spans="1:4" x14ac:dyDescent="0.2">
      <c r="A18" s="7">
        <v>42079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96.899999999999991</v>
      </c>
    </row>
    <row r="25" spans="1:4" x14ac:dyDescent="0.2">
      <c r="A25" s="7">
        <v>42086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SUM(B26:C29)</f>
        <v>96.899999999999991</v>
      </c>
    </row>
    <row r="31" spans="1:4" x14ac:dyDescent="0.2">
      <c r="A31" s="7">
        <v>42093</v>
      </c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  <c r="B33">
        <v>25.65</v>
      </c>
      <c r="C33">
        <v>25.65</v>
      </c>
    </row>
    <row r="34" spans="1:4" x14ac:dyDescent="0.2">
      <c r="A34" t="s">
        <v>5</v>
      </c>
      <c r="B34">
        <v>22.8</v>
      </c>
      <c r="C34">
        <v>22.8</v>
      </c>
    </row>
    <row r="36" spans="1:4" x14ac:dyDescent="0.2">
      <c r="D36">
        <f>SUM(B32:C35)</f>
        <v>96.899999999999991</v>
      </c>
    </row>
    <row r="38" spans="1:4" x14ac:dyDescent="0.2">
      <c r="A38" t="s">
        <v>186</v>
      </c>
      <c r="D38">
        <f>D36+D30+D23+D15+D7</f>
        <v>484.49999999999994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1E7D-D25B-4D24-9C4C-39E9644E879C}">
  <dimension ref="A1:D38"/>
  <sheetViews>
    <sheetView view="pageBreakPreview" zoomScaleNormal="100" workbookViewId="0">
      <selection activeCell="C33" sqref="C33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42100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18.239999999999998</v>
      </c>
      <c r="C5">
        <v>18.239999999999998</v>
      </c>
    </row>
    <row r="7" spans="1:4" x14ac:dyDescent="0.2">
      <c r="D7">
        <f>SUM(B3:C6)</f>
        <v>87.779999999999987</v>
      </c>
    </row>
    <row r="10" spans="1:4" x14ac:dyDescent="0.2">
      <c r="A10" s="7">
        <v>42107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96.899999999999991</v>
      </c>
    </row>
    <row r="18" spans="1:4" x14ac:dyDescent="0.2">
      <c r="A18" s="7">
        <v>42114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96.899999999999991</v>
      </c>
    </row>
    <row r="25" spans="1:4" x14ac:dyDescent="0.2">
      <c r="A25" s="7">
        <v>42121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22.8</v>
      </c>
      <c r="C27">
        <v>22.8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SUM(B26:C29)</f>
        <v>91.2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372.78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6227-2440-475A-B5A5-9077641270BF}">
  <dimension ref="A1:D38"/>
  <sheetViews>
    <sheetView view="pageBreakPreview" zoomScaleNormal="100" workbookViewId="0">
      <selection activeCell="B29" sqref="B2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42128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22.8</v>
      </c>
      <c r="C4">
        <v>22.8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91.2</v>
      </c>
    </row>
    <row r="10" spans="1:4" x14ac:dyDescent="0.2">
      <c r="A10" s="7">
        <v>42135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96.899999999999991</v>
      </c>
    </row>
    <row r="18" spans="1:4" x14ac:dyDescent="0.2">
      <c r="A18" s="7">
        <v>42142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96.899999999999991</v>
      </c>
    </row>
    <row r="25" spans="1:4" x14ac:dyDescent="0.2">
      <c r="A25" s="7">
        <v>42146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21.09</v>
      </c>
      <c r="C28">
        <v>21.09</v>
      </c>
    </row>
    <row r="30" spans="1:4" x14ac:dyDescent="0.2">
      <c r="D30">
        <f>SUM(B26:C29)</f>
        <v>93.48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378.47999999999996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AF9A-DB66-4290-B169-3B2678F79B5C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A48A-C49F-40B6-936D-035F33D2FD07}">
  <dimension ref="A1:D38"/>
  <sheetViews>
    <sheetView view="pageBreakPreview" zoomScaleNormal="100" workbookViewId="0">
      <selection activeCell="C28" sqref="C28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42156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22.8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94.05</v>
      </c>
    </row>
    <row r="10" spans="1:4" x14ac:dyDescent="0.2">
      <c r="A10" s="7">
        <v>42163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17.100000000000001</v>
      </c>
      <c r="C12">
        <v>25.65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88.35</v>
      </c>
    </row>
    <row r="18" spans="1:4" x14ac:dyDescent="0.2">
      <c r="A18" s="7">
        <v>42170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96.899999999999991</v>
      </c>
    </row>
    <row r="25" spans="1:4" x14ac:dyDescent="0.2">
      <c r="A25" s="7">
        <v>42177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9.1199999999999992</v>
      </c>
      <c r="C28">
        <v>21.09</v>
      </c>
    </row>
    <row r="30" spans="1:4" x14ac:dyDescent="0.2">
      <c r="D30">
        <f>SUM(B26:C29)</f>
        <v>81.509999999999991</v>
      </c>
    </row>
    <row r="31" spans="1:4" x14ac:dyDescent="0.2">
      <c r="A31" s="7">
        <v>42184</v>
      </c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  <c r="B33">
        <v>25.65</v>
      </c>
      <c r="C33">
        <v>25.65</v>
      </c>
    </row>
    <row r="34" spans="1:4" x14ac:dyDescent="0.2">
      <c r="A34" t="s">
        <v>5</v>
      </c>
      <c r="B34">
        <v>22.8</v>
      </c>
      <c r="C34">
        <v>22.8</v>
      </c>
    </row>
    <row r="36" spans="1:4" x14ac:dyDescent="0.2">
      <c r="D36">
        <f>SUM(B32:C35)</f>
        <v>96.899999999999991</v>
      </c>
    </row>
    <row r="38" spans="1:4" x14ac:dyDescent="0.2">
      <c r="A38" t="s">
        <v>186</v>
      </c>
      <c r="D38">
        <f>D36+D30+D23+D15+D7</f>
        <v>457.71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8BFA-F02D-4DF7-9EE8-B075A04F157C}">
  <dimension ref="A1:D38"/>
  <sheetViews>
    <sheetView view="pageBreakPreview" zoomScaleNormal="100" workbookViewId="0">
      <selection activeCell="C33" sqref="C33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42191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96.899999999999991</v>
      </c>
    </row>
    <row r="10" spans="1:4" x14ac:dyDescent="0.2">
      <c r="A10" s="7">
        <v>42198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96.899999999999991</v>
      </c>
    </row>
    <row r="18" spans="1:4" x14ac:dyDescent="0.2">
      <c r="A18" s="7">
        <v>42205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96.899999999999991</v>
      </c>
    </row>
    <row r="25" spans="1:4" x14ac:dyDescent="0.2">
      <c r="A25" s="7">
        <v>42212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SUM(B26:C29)</f>
        <v>96.899999999999991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387.59999999999997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8F92-EA43-4602-B97E-24B94AAC54E4}">
  <dimension ref="A1:D38"/>
  <sheetViews>
    <sheetView view="pageBreakPreview" zoomScaleNormal="100" workbookViewId="0">
      <selection activeCell="C35" sqref="C3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42219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25.65</v>
      </c>
      <c r="C4">
        <v>25.65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96.899999999999991</v>
      </c>
    </row>
    <row r="10" spans="1:4" x14ac:dyDescent="0.2">
      <c r="A10" s="7">
        <v>42226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25.65</v>
      </c>
      <c r="C12">
        <v>25.65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96.899999999999991</v>
      </c>
    </row>
    <row r="18" spans="1:4" x14ac:dyDescent="0.2">
      <c r="A18" s="7">
        <v>42233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25.65</v>
      </c>
      <c r="C20">
        <v>25.65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96.899999999999991</v>
      </c>
    </row>
    <row r="25" spans="1:4" x14ac:dyDescent="0.2">
      <c r="A25" s="7">
        <v>42240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25.65</v>
      </c>
      <c r="C27">
        <v>25.65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SUM(B26:C29)</f>
        <v>96.899999999999991</v>
      </c>
    </row>
    <row r="31" spans="1:4" x14ac:dyDescent="0.2">
      <c r="A31" s="7">
        <v>42247</v>
      </c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  <c r="B33">
        <v>25.29</v>
      </c>
      <c r="C33">
        <v>25.29</v>
      </c>
    </row>
    <row r="34" spans="1:4" x14ac:dyDescent="0.2">
      <c r="A34" t="s">
        <v>5</v>
      </c>
      <c r="B34">
        <v>22.8</v>
      </c>
      <c r="C34">
        <v>22.8</v>
      </c>
    </row>
    <row r="36" spans="1:4" x14ac:dyDescent="0.2">
      <c r="D36">
        <f>SUM(B32:C35)</f>
        <v>96.179999999999993</v>
      </c>
    </row>
    <row r="38" spans="1:4" x14ac:dyDescent="0.2">
      <c r="A38" t="s">
        <v>186</v>
      </c>
      <c r="D38">
        <f>D36+D30+D23+D15+D7</f>
        <v>483.77999999999992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4825-F1EA-41E6-8E46-0C95A0C22B8F}">
  <dimension ref="A1:D38"/>
  <sheetViews>
    <sheetView view="pageBreakPreview" topLeftCell="A10" zoomScaleNormal="100" workbookViewId="0">
      <selection activeCell="D28" sqref="D28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42251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25.29</v>
      </c>
      <c r="C4">
        <v>25.29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96.179999999999993</v>
      </c>
    </row>
    <row r="10" spans="1:4" x14ac:dyDescent="0.2">
      <c r="A10" s="7">
        <v>42261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25.29</v>
      </c>
    </row>
    <row r="13" spans="1:4" x14ac:dyDescent="0.2">
      <c r="A13" t="s">
        <v>5</v>
      </c>
      <c r="B13">
        <v>22.23</v>
      </c>
      <c r="C13">
        <v>22.23</v>
      </c>
    </row>
    <row r="15" spans="1:4" x14ac:dyDescent="0.2">
      <c r="D15">
        <f>SUM(B11:C14)</f>
        <v>95.04</v>
      </c>
    </row>
    <row r="18" spans="1:4" x14ac:dyDescent="0.2">
      <c r="A18" s="7">
        <v>42268</v>
      </c>
      <c r="B18" t="s">
        <v>9</v>
      </c>
      <c r="C18" t="s">
        <v>2</v>
      </c>
      <c r="D18" t="s">
        <v>7</v>
      </c>
    </row>
    <row r="19" spans="1:4" x14ac:dyDescent="0.2">
      <c r="B19">
        <v>25.29</v>
      </c>
      <c r="C19">
        <v>25.29</v>
      </c>
    </row>
    <row r="20" spans="1:4" x14ac:dyDescent="0.2">
      <c r="A20" t="s">
        <v>4</v>
      </c>
      <c r="B20">
        <v>22.61</v>
      </c>
      <c r="C20">
        <v>22.61</v>
      </c>
    </row>
    <row r="21" spans="1:4" x14ac:dyDescent="0.2">
      <c r="A21" t="s">
        <v>5</v>
      </c>
    </row>
    <row r="23" spans="1:4" x14ac:dyDescent="0.2">
      <c r="D23">
        <f>SUM(B19:C22)</f>
        <v>95.8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25.29</v>
      </c>
      <c r="C27">
        <v>25.29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SUM(B26:C29)</f>
        <v>96.179999999999993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8" spans="1:4" x14ac:dyDescent="0.2">
      <c r="A38" t="s">
        <v>186</v>
      </c>
      <c r="D38">
        <f>D36+D30+D23+D15+D7</f>
        <v>383.2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3E97-15B1-40B0-A2D2-D18BB9CD4A2C}">
  <dimension ref="A1:D38"/>
  <sheetViews>
    <sheetView view="pageBreakPreview" zoomScaleNormal="100" workbookViewId="0">
      <selection activeCell="D38" sqref="D38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42282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25.29</v>
      </c>
      <c r="C4">
        <v>25.29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96.179999999999993</v>
      </c>
    </row>
    <row r="10" spans="1:4" x14ac:dyDescent="0.2">
      <c r="A10" s="7">
        <v>42286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25.29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96.179999999999993</v>
      </c>
    </row>
    <row r="18" spans="1:4" x14ac:dyDescent="0.2">
      <c r="A18" s="7">
        <v>42296</v>
      </c>
      <c r="B18" t="s">
        <v>9</v>
      </c>
      <c r="C18" t="s">
        <v>2</v>
      </c>
      <c r="D18" t="s">
        <v>7</v>
      </c>
    </row>
    <row r="20" spans="1:4" x14ac:dyDescent="0.2">
      <c r="A20" t="s">
        <v>4</v>
      </c>
      <c r="B20">
        <v>25.29</v>
      </c>
      <c r="C20">
        <v>25.29</v>
      </c>
    </row>
    <row r="21" spans="1:4" x14ac:dyDescent="0.2">
      <c r="A21" t="s">
        <v>5</v>
      </c>
      <c r="B21">
        <v>23.37</v>
      </c>
      <c r="C21">
        <v>23.37</v>
      </c>
    </row>
    <row r="23" spans="1:4" x14ac:dyDescent="0.2">
      <c r="D23">
        <f>SUM(B19:C22)</f>
        <v>97.320000000000007</v>
      </c>
    </row>
    <row r="25" spans="1:4" x14ac:dyDescent="0.2">
      <c r="A25" s="7">
        <v>42303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25.29</v>
      </c>
      <c r="C27">
        <v>25.29</v>
      </c>
    </row>
    <row r="28" spans="1:4" x14ac:dyDescent="0.2">
      <c r="A28" t="s">
        <v>5</v>
      </c>
      <c r="B28">
        <v>22.66</v>
      </c>
      <c r="C28">
        <v>22.66</v>
      </c>
    </row>
    <row r="30" spans="1:4" x14ac:dyDescent="0.2">
      <c r="D30">
        <f>B27+C27+B28+C28</f>
        <v>95.899999999999991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SUM(B32:C35)</f>
        <v>0</v>
      </c>
    </row>
    <row r="37" spans="1:4" x14ac:dyDescent="0.2">
      <c r="C37" t="s">
        <v>261</v>
      </c>
      <c r="D37">
        <f>D23+D30</f>
        <v>193.22</v>
      </c>
    </row>
    <row r="38" spans="1:4" x14ac:dyDescent="0.2">
      <c r="A38" t="s">
        <v>186</v>
      </c>
      <c r="C38" t="s">
        <v>260</v>
      </c>
      <c r="D38">
        <f>D36+D30+D23+D15+D7</f>
        <v>385.58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4686-CE75-4BB4-B71B-1C81E70CDFE9}">
  <dimension ref="A1:D38"/>
  <sheetViews>
    <sheetView view="pageBreakPreview" topLeftCell="A19" zoomScaleNormal="100" workbookViewId="0">
      <selection activeCell="D37" sqref="D37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42310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25.29</v>
      </c>
      <c r="C4">
        <v>25.29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96.179999999999993</v>
      </c>
    </row>
    <row r="10" spans="1:4" x14ac:dyDescent="0.2">
      <c r="A10" s="7">
        <v>42317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25.29</v>
      </c>
    </row>
    <row r="13" spans="1:4" x14ac:dyDescent="0.2">
      <c r="A13" t="s">
        <v>5</v>
      </c>
      <c r="B13">
        <v>19.670000000000002</v>
      </c>
      <c r="C13">
        <v>19.670000000000002</v>
      </c>
    </row>
    <row r="15" spans="1:4" x14ac:dyDescent="0.2">
      <c r="D15">
        <f>SUM(B11:C14)</f>
        <v>89.92</v>
      </c>
    </row>
    <row r="18" spans="1:4" x14ac:dyDescent="0.2">
      <c r="A18" s="7"/>
      <c r="B18" t="s">
        <v>9</v>
      </c>
      <c r="C18" t="s">
        <v>2</v>
      </c>
      <c r="D18" t="s">
        <v>7</v>
      </c>
    </row>
    <row r="19" spans="1:4" x14ac:dyDescent="0.2">
      <c r="A19" s="8">
        <v>42324</v>
      </c>
    </row>
    <row r="20" spans="1:4" x14ac:dyDescent="0.2">
      <c r="A20" t="s">
        <v>4</v>
      </c>
      <c r="B20">
        <v>25.29</v>
      </c>
      <c r="C20">
        <v>25.29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96.179999999999993</v>
      </c>
    </row>
    <row r="25" spans="1:4" x14ac:dyDescent="0.2">
      <c r="A25" s="7">
        <v>42331</v>
      </c>
      <c r="B25" t="s">
        <v>9</v>
      </c>
      <c r="C25" t="s">
        <v>2</v>
      </c>
      <c r="D25" t="s">
        <v>7</v>
      </c>
    </row>
    <row r="27" spans="1:4" x14ac:dyDescent="0.2">
      <c r="A27" t="s">
        <v>4</v>
      </c>
      <c r="B27">
        <v>25.29</v>
      </c>
      <c r="C27">
        <v>25.29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B27+C27+B28+C28</f>
        <v>96.179999999999993</v>
      </c>
    </row>
    <row r="31" spans="1:4" x14ac:dyDescent="0.2">
      <c r="A31" s="7">
        <v>42338</v>
      </c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  <c r="B33">
        <v>25.29</v>
      </c>
      <c r="C33">
        <v>25.29</v>
      </c>
    </row>
    <row r="34" spans="1:4" x14ac:dyDescent="0.2">
      <c r="A34" t="s">
        <v>5</v>
      </c>
      <c r="B34">
        <v>22.8</v>
      </c>
      <c r="C34">
        <v>22.8</v>
      </c>
    </row>
    <row r="36" spans="1:4" x14ac:dyDescent="0.2">
      <c r="D36">
        <f>SUM(B33:C34)</f>
        <v>96.179999999999993</v>
      </c>
    </row>
    <row r="38" spans="1:4" x14ac:dyDescent="0.2">
      <c r="A38" t="s">
        <v>186</v>
      </c>
      <c r="C38" t="s">
        <v>260</v>
      </c>
      <c r="D38">
        <f>D36+D30+D23+D15+D7</f>
        <v>474.64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B155-615F-40E9-A25D-2AE621A1F4B3}">
  <dimension ref="A1:D38"/>
  <sheetViews>
    <sheetView view="pageBreakPreview" zoomScaleNormal="100" workbookViewId="0">
      <selection activeCell="C33" sqref="C33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42345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25.29</v>
      </c>
      <c r="C4">
        <v>25.29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96.179999999999993</v>
      </c>
    </row>
    <row r="10" spans="1:4" x14ac:dyDescent="0.2">
      <c r="A10" s="7">
        <v>42352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25.29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96.179999999999993</v>
      </c>
    </row>
    <row r="18" spans="1:4" x14ac:dyDescent="0.2">
      <c r="A18" s="7">
        <v>42359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25.29</v>
      </c>
      <c r="C20">
        <v>25.29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96.179999999999993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42340</v>
      </c>
    </row>
    <row r="27" spans="1:4" x14ac:dyDescent="0.2">
      <c r="A27" t="s">
        <v>4</v>
      </c>
      <c r="B27">
        <v>25.29</v>
      </c>
      <c r="C27">
        <v>25.29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B27+C27+B28+C28</f>
        <v>96.179999999999993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384.71999999999997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DF3B-421E-4C04-8F5B-CFCFCC341D78}">
  <dimension ref="A1:D38"/>
  <sheetViews>
    <sheetView view="pageBreakPreview" zoomScaleNormal="100" workbookViewId="0">
      <selection activeCell="C29" sqref="C2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42373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26.36</v>
      </c>
      <c r="C4">
        <v>26.36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98.32</v>
      </c>
    </row>
    <row r="10" spans="1:4" x14ac:dyDescent="0.2">
      <c r="A10" s="7">
        <v>42380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25.29</v>
      </c>
    </row>
    <row r="13" spans="1:4" x14ac:dyDescent="0.2">
      <c r="A13" t="s">
        <v>5</v>
      </c>
      <c r="B13">
        <v>18.239999999999998</v>
      </c>
      <c r="C13">
        <v>18.239999999999998</v>
      </c>
    </row>
    <row r="15" spans="1:4" x14ac:dyDescent="0.2">
      <c r="D15">
        <f>SUM(B11:C14)</f>
        <v>87.059999999999988</v>
      </c>
    </row>
    <row r="18" spans="1:4" x14ac:dyDescent="0.2">
      <c r="A18" s="7">
        <v>42384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25.29</v>
      </c>
      <c r="C20">
        <v>25.29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96.179999999999993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42394</v>
      </c>
    </row>
    <row r="27" spans="1:4" x14ac:dyDescent="0.2">
      <c r="A27" t="s">
        <v>4</v>
      </c>
      <c r="B27">
        <v>25.29</v>
      </c>
      <c r="C27">
        <v>25.29</v>
      </c>
    </row>
    <row r="28" spans="1:4" x14ac:dyDescent="0.2">
      <c r="A28" t="s">
        <v>5</v>
      </c>
      <c r="B28">
        <v>20.52</v>
      </c>
      <c r="C28">
        <v>20.52</v>
      </c>
    </row>
    <row r="30" spans="1:4" x14ac:dyDescent="0.2">
      <c r="D30">
        <f>B27+C27+B28+C28</f>
        <v>91.61999999999999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373.17999999999995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13B0-251C-4B2D-AB9C-75E3256447BC}">
  <dimension ref="A1:D38"/>
  <sheetViews>
    <sheetView view="pageBreakPreview" topLeftCell="A10" zoomScaleNormal="100" workbookViewId="0">
      <selection activeCell="C29" sqref="C2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>
        <v>42401</v>
      </c>
      <c r="B2" t="s">
        <v>1</v>
      </c>
      <c r="C2" t="s">
        <v>2</v>
      </c>
      <c r="D2" t="s">
        <v>7</v>
      </c>
    </row>
    <row r="4" spans="1:4" x14ac:dyDescent="0.2">
      <c r="A4" t="s">
        <v>4</v>
      </c>
      <c r="B4">
        <v>25.29</v>
      </c>
      <c r="C4">
        <v>25.29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96.179999999999993</v>
      </c>
    </row>
    <row r="10" spans="1:4" x14ac:dyDescent="0.2">
      <c r="A10" s="7">
        <v>42408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25.12</v>
      </c>
      <c r="C12">
        <v>25.12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95.84</v>
      </c>
    </row>
    <row r="18" spans="1:4" x14ac:dyDescent="0.2">
      <c r="A18" s="7">
        <v>42420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25.29</v>
      </c>
      <c r="C20">
        <v>25.29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96.179999999999993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42427</v>
      </c>
    </row>
    <row r="27" spans="1:4" x14ac:dyDescent="0.2">
      <c r="A27" t="s">
        <v>4</v>
      </c>
      <c r="B27">
        <v>25.29</v>
      </c>
      <c r="C27">
        <v>25.29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B27+C27+B28+C28</f>
        <v>96.179999999999993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384.38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5A02-03FA-451A-AEFF-CB019BB46044}">
  <dimension ref="A1:D38"/>
  <sheetViews>
    <sheetView view="pageBreakPreview" topLeftCell="A4" zoomScaleNormal="100" workbookViewId="0">
      <selection activeCell="C33" sqref="C33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42436</v>
      </c>
    </row>
    <row r="4" spans="1:4" x14ac:dyDescent="0.2">
      <c r="A4" t="s">
        <v>4</v>
      </c>
      <c r="B4">
        <v>25.29</v>
      </c>
      <c r="C4">
        <v>25.29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96.179999999999993</v>
      </c>
    </row>
    <row r="10" spans="1:4" x14ac:dyDescent="0.2">
      <c r="A10" s="7">
        <v>42443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25.29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96.179999999999993</v>
      </c>
    </row>
    <row r="18" spans="1:4" x14ac:dyDescent="0.2">
      <c r="A18" s="8">
        <v>42450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25.29</v>
      </c>
      <c r="C20">
        <v>25.29</v>
      </c>
    </row>
    <row r="21" spans="1:4" x14ac:dyDescent="0.2">
      <c r="A21" t="s">
        <v>5</v>
      </c>
      <c r="B21">
        <v>22.52</v>
      </c>
      <c r="C21">
        <v>22.52</v>
      </c>
    </row>
    <row r="23" spans="1:4" x14ac:dyDescent="0.2">
      <c r="D23">
        <f>SUM(B19:C22)</f>
        <v>95.61999999999999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42457</v>
      </c>
    </row>
    <row r="27" spans="1:4" x14ac:dyDescent="0.2">
      <c r="A27" t="s">
        <v>4</v>
      </c>
      <c r="B27">
        <v>23</v>
      </c>
      <c r="C27">
        <v>23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B27+C27+B28+C28</f>
        <v>91.6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379.58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E7A5-53C2-4569-B6C8-DD5A9A656366}">
  <dimension ref="A1:D38"/>
  <sheetViews>
    <sheetView view="pageBreakPreview" zoomScaleNormal="100" workbookViewId="0">
      <selection activeCell="C6" sqref="C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42464</v>
      </c>
    </row>
    <row r="4" spans="1:4" x14ac:dyDescent="0.2">
      <c r="A4" t="s">
        <v>4</v>
      </c>
      <c r="B4">
        <v>6.77</v>
      </c>
      <c r="C4">
        <v>6.77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59.14</v>
      </c>
    </row>
    <row r="10" spans="1:4" x14ac:dyDescent="0.2">
      <c r="A10" s="7">
        <v>42471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25.29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96.179999999999993</v>
      </c>
    </row>
    <row r="18" spans="1:4" x14ac:dyDescent="0.2">
      <c r="A18" s="8">
        <v>42478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25.29</v>
      </c>
      <c r="C20">
        <v>25.29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96.179999999999993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42485</v>
      </c>
    </row>
    <row r="27" spans="1:4" x14ac:dyDescent="0.2">
      <c r="A27" t="s">
        <v>4</v>
      </c>
      <c r="B27">
        <v>25.29</v>
      </c>
      <c r="C27">
        <v>25.29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B27+C27+B28+C28</f>
        <v>96.179999999999993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347.67999999999995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38A8-1267-469F-95B6-24352F3781F7}">
  <dimension ref="A1:D38"/>
  <sheetViews>
    <sheetView view="pageBreakPreview" zoomScaleNormal="100" workbookViewId="0">
      <selection activeCell="C28" sqref="C28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42499</v>
      </c>
    </row>
    <row r="4" spans="1:4" x14ac:dyDescent="0.2">
      <c r="A4" t="s">
        <v>4</v>
      </c>
      <c r="B4">
        <v>24.4</v>
      </c>
      <c r="C4">
        <v>24.4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94.399999999999991</v>
      </c>
    </row>
    <row r="10" spans="1:4" x14ac:dyDescent="0.2">
      <c r="A10" s="7">
        <v>42506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25.29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96.179999999999993</v>
      </c>
    </row>
    <row r="18" spans="1:4" x14ac:dyDescent="0.2">
      <c r="A18" s="8">
        <v>42513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10.33</v>
      </c>
      <c r="C20">
        <v>10.33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66.260000000000005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42517</v>
      </c>
    </row>
    <row r="27" spans="1:4" x14ac:dyDescent="0.2">
      <c r="A27" t="s">
        <v>4</v>
      </c>
      <c r="B27">
        <v>10.33</v>
      </c>
      <c r="C27">
        <v>10.33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B27+C27+B28+C28</f>
        <v>66.260000000000005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323.09999999999997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F376-1569-4FFA-B04F-63ACD0165A41}">
  <dimension ref="A1:D38"/>
  <sheetViews>
    <sheetView view="pageBreakPreview" zoomScaleNormal="100" workbookViewId="0">
      <selection activeCell="B33" sqref="B33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42527</v>
      </c>
    </row>
    <row r="4" spans="1:4" x14ac:dyDescent="0.2">
      <c r="A4" t="s">
        <v>4</v>
      </c>
      <c r="B4">
        <v>25.29</v>
      </c>
      <c r="C4">
        <v>25.29</v>
      </c>
    </row>
    <row r="5" spans="1:4" x14ac:dyDescent="0.2">
      <c r="A5" t="s">
        <v>5</v>
      </c>
      <c r="B5">
        <v>17.96</v>
      </c>
      <c r="C5">
        <v>17.96</v>
      </c>
    </row>
    <row r="7" spans="1:4" x14ac:dyDescent="0.2">
      <c r="D7">
        <f>SUM(B3:C6)</f>
        <v>86.5</v>
      </c>
    </row>
    <row r="10" spans="1:4" x14ac:dyDescent="0.2">
      <c r="A10" s="7">
        <v>42534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25.29</v>
      </c>
    </row>
    <row r="13" spans="1:4" x14ac:dyDescent="0.2">
      <c r="A13" t="s">
        <v>5</v>
      </c>
      <c r="B13">
        <v>22.23</v>
      </c>
      <c r="C13">
        <v>22.23</v>
      </c>
    </row>
    <row r="15" spans="1:4" x14ac:dyDescent="0.2">
      <c r="D15">
        <f>SUM(B11:C14)</f>
        <v>95.04</v>
      </c>
    </row>
    <row r="18" spans="1:4" x14ac:dyDescent="0.2">
      <c r="A18" s="8">
        <v>42541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25.29</v>
      </c>
      <c r="C20">
        <v>25.29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96.179999999999993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42548</v>
      </c>
    </row>
    <row r="27" spans="1:4" x14ac:dyDescent="0.2">
      <c r="A27" t="s">
        <v>4</v>
      </c>
      <c r="B27">
        <v>25.29</v>
      </c>
      <c r="C27">
        <v>25.29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B27+C27+B28+C28</f>
        <v>96.179999999999993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373.9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A6A3-C38F-41DB-8F5E-D89133AB6BAF}">
  <dimension ref="A1:D38"/>
  <sheetViews>
    <sheetView view="pageBreakPreview" topLeftCell="A13" zoomScaleNormal="100" workbookViewId="0">
      <selection activeCell="A27" sqref="A27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42552</v>
      </c>
    </row>
    <row r="4" spans="1:4" x14ac:dyDescent="0.2">
      <c r="A4" t="s">
        <v>4</v>
      </c>
      <c r="B4">
        <v>24.94</v>
      </c>
      <c r="C4">
        <v>24.94</v>
      </c>
    </row>
    <row r="5" spans="1:4" x14ac:dyDescent="0.2">
      <c r="A5" t="s">
        <v>5</v>
      </c>
      <c r="B5">
        <v>22.8</v>
      </c>
      <c r="C5">
        <v>22.8</v>
      </c>
    </row>
    <row r="7" spans="1:4" x14ac:dyDescent="0.2">
      <c r="D7">
        <f>SUM(B3:C6)</f>
        <v>95.48</v>
      </c>
    </row>
    <row r="10" spans="1:4" x14ac:dyDescent="0.2">
      <c r="A10" s="7">
        <v>42562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25.29</v>
      </c>
      <c r="C12">
        <v>25.29</v>
      </c>
    </row>
    <row r="13" spans="1:4" x14ac:dyDescent="0.2">
      <c r="A13" t="s">
        <v>5</v>
      </c>
      <c r="B13">
        <v>22.8</v>
      </c>
      <c r="C13">
        <v>22.8</v>
      </c>
    </row>
    <row r="15" spans="1:4" x14ac:dyDescent="0.2">
      <c r="D15">
        <f>SUM(B11:C14)</f>
        <v>96.179999999999993</v>
      </c>
    </row>
    <row r="18" spans="1:4" x14ac:dyDescent="0.2">
      <c r="A18" s="8">
        <v>42569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25.29</v>
      </c>
      <c r="C20">
        <v>25.29</v>
      </c>
    </row>
    <row r="21" spans="1:4" x14ac:dyDescent="0.2">
      <c r="A21" t="s">
        <v>5</v>
      </c>
      <c r="B21">
        <v>22.8</v>
      </c>
      <c r="C21">
        <v>22.8</v>
      </c>
    </row>
    <row r="23" spans="1:4" x14ac:dyDescent="0.2">
      <c r="D23">
        <f>SUM(B19:C22)</f>
        <v>96.179999999999993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42576</v>
      </c>
    </row>
    <row r="27" spans="1:4" x14ac:dyDescent="0.2">
      <c r="A27" t="s">
        <v>4</v>
      </c>
      <c r="B27">
        <v>25.29</v>
      </c>
      <c r="C27">
        <v>25.29</v>
      </c>
    </row>
    <row r="28" spans="1:4" x14ac:dyDescent="0.2">
      <c r="A28" t="s">
        <v>5</v>
      </c>
      <c r="B28">
        <v>22.8</v>
      </c>
      <c r="C28">
        <v>22.8</v>
      </c>
    </row>
    <row r="30" spans="1:4" x14ac:dyDescent="0.2">
      <c r="D30">
        <f>B27+C27+B28+C28</f>
        <v>96.179999999999993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384.02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09B6-36F9-40FE-A43E-E756CBAD8130}">
  <dimension ref="A1:D38"/>
  <sheetViews>
    <sheetView view="pageBreakPreview" zoomScaleNormal="100" workbookViewId="0">
      <selection activeCell="C36" sqref="C3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42583</v>
      </c>
    </row>
    <row r="4" spans="1:4" x14ac:dyDescent="0.2">
      <c r="A4" t="s">
        <v>4</v>
      </c>
      <c r="B4">
        <v>25.83</v>
      </c>
      <c r="C4">
        <v>25.83</v>
      </c>
    </row>
    <row r="5" spans="1:4" x14ac:dyDescent="0.2">
      <c r="A5" t="s">
        <v>5</v>
      </c>
      <c r="B5">
        <v>23.4</v>
      </c>
      <c r="C5">
        <v>23.4</v>
      </c>
    </row>
    <row r="7" spans="1:4" x14ac:dyDescent="0.2">
      <c r="D7">
        <f>SUM(B3:C6)</f>
        <v>98.460000000000008</v>
      </c>
    </row>
    <row r="10" spans="1:4" x14ac:dyDescent="0.2">
      <c r="A10" s="7">
        <v>42590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25.83</v>
      </c>
      <c r="C12">
        <v>25.73</v>
      </c>
    </row>
    <row r="13" spans="1:4" x14ac:dyDescent="0.2">
      <c r="A13" t="s">
        <v>5</v>
      </c>
      <c r="B13">
        <v>23.4</v>
      </c>
      <c r="C13">
        <v>23.4</v>
      </c>
    </row>
    <row r="15" spans="1:4" x14ac:dyDescent="0.2">
      <c r="D15">
        <f>SUM(B11:C14)</f>
        <v>98.360000000000014</v>
      </c>
    </row>
    <row r="18" spans="1:4" x14ac:dyDescent="0.2">
      <c r="A18" s="8">
        <v>42597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25.83</v>
      </c>
      <c r="C20">
        <v>25.83</v>
      </c>
    </row>
    <row r="21" spans="1:4" x14ac:dyDescent="0.2">
      <c r="A21" t="s">
        <v>5</v>
      </c>
      <c r="B21">
        <v>7.6</v>
      </c>
      <c r="C21">
        <v>7.6</v>
      </c>
    </row>
    <row r="23" spans="1:4" x14ac:dyDescent="0.2">
      <c r="D23">
        <f>SUM(B19:C22)</f>
        <v>66.86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42604</v>
      </c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15.8</v>
      </c>
      <c r="C28">
        <v>15.8</v>
      </c>
    </row>
    <row r="30" spans="1:4" x14ac:dyDescent="0.2">
      <c r="D30">
        <f>B27+C27+B28+C28</f>
        <v>83.259999999999991</v>
      </c>
    </row>
    <row r="31" spans="1:4" x14ac:dyDescent="0.2">
      <c r="A31" s="7">
        <v>42611</v>
      </c>
      <c r="B31" t="s">
        <v>9</v>
      </c>
      <c r="C31" t="s">
        <v>2</v>
      </c>
      <c r="D31" t="s">
        <v>7</v>
      </c>
    </row>
    <row r="33" spans="1:4" x14ac:dyDescent="0.2">
      <c r="A33" t="s">
        <v>4</v>
      </c>
      <c r="B33">
        <v>25.83</v>
      </c>
      <c r="C33">
        <v>25.83</v>
      </c>
    </row>
    <row r="34" spans="1:4" x14ac:dyDescent="0.2">
      <c r="A34" t="s">
        <v>5</v>
      </c>
      <c r="B34">
        <v>23.4</v>
      </c>
      <c r="C34">
        <v>23.4</v>
      </c>
    </row>
    <row r="36" spans="1:4" x14ac:dyDescent="0.2">
      <c r="D36">
        <f>SUM(B33:C34)</f>
        <v>98.460000000000008</v>
      </c>
    </row>
    <row r="38" spans="1:4" x14ac:dyDescent="0.2">
      <c r="A38" t="s">
        <v>186</v>
      </c>
      <c r="C38" t="s">
        <v>260</v>
      </c>
      <c r="D38">
        <f>D36+D30+D23+D15+D7</f>
        <v>445.4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A444-B8B8-4713-B115-5744EB3BBD7C}">
  <dimension ref="A1:D38"/>
  <sheetViews>
    <sheetView view="pageBreakPreview" zoomScaleNormal="100" workbookViewId="0">
      <selection activeCell="H22" sqref="H22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42615</v>
      </c>
    </row>
    <row r="4" spans="1:4" x14ac:dyDescent="0.2">
      <c r="A4" t="s">
        <v>4</v>
      </c>
      <c r="B4">
        <v>25.83</v>
      </c>
      <c r="C4">
        <v>25.83</v>
      </c>
    </row>
    <row r="5" spans="1:4" x14ac:dyDescent="0.2">
      <c r="A5" t="s">
        <v>5</v>
      </c>
      <c r="B5">
        <v>23.4</v>
      </c>
      <c r="C5">
        <v>23.4</v>
      </c>
    </row>
    <row r="7" spans="1:4" x14ac:dyDescent="0.2">
      <c r="D7">
        <f>SUM(B3:C6)</f>
        <v>98.460000000000008</v>
      </c>
    </row>
    <row r="10" spans="1:4" x14ac:dyDescent="0.2">
      <c r="A10" s="7">
        <v>42625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25.83</v>
      </c>
      <c r="C12">
        <v>25.73</v>
      </c>
    </row>
    <row r="13" spans="1:4" x14ac:dyDescent="0.2">
      <c r="A13" t="s">
        <v>5</v>
      </c>
      <c r="B13">
        <v>23.4</v>
      </c>
      <c r="C13">
        <v>23.4</v>
      </c>
    </row>
    <row r="15" spans="1:4" x14ac:dyDescent="0.2">
      <c r="D15">
        <f>SUM(B11:C14)</f>
        <v>98.360000000000014</v>
      </c>
    </row>
    <row r="18" spans="1:4" x14ac:dyDescent="0.2">
      <c r="A18" s="8">
        <v>42632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25.83</v>
      </c>
      <c r="C20">
        <v>25.83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98.460000000000008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42639</v>
      </c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98.460000000000008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393.74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5026-BF91-4A7B-945E-DAF733CBF60A}">
  <dimension ref="A1:D38"/>
  <sheetViews>
    <sheetView view="pageBreakPreview" zoomScaleNormal="100" workbookViewId="0">
      <selection activeCell="B27" sqref="B27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 t="s">
        <v>262</v>
      </c>
    </row>
    <row r="4" spans="1:4" x14ac:dyDescent="0.2">
      <c r="A4" t="s">
        <v>4</v>
      </c>
      <c r="B4">
        <v>25.1</v>
      </c>
      <c r="C4">
        <v>25.1</v>
      </c>
    </row>
    <row r="5" spans="1:4" x14ac:dyDescent="0.2">
      <c r="A5" t="s">
        <v>5</v>
      </c>
      <c r="B5">
        <v>22.23</v>
      </c>
      <c r="C5">
        <v>22.23</v>
      </c>
    </row>
    <row r="7" spans="1:4" x14ac:dyDescent="0.2">
      <c r="D7">
        <f>SUM(B3:C6)</f>
        <v>94.660000000000011</v>
      </c>
    </row>
    <row r="10" spans="1:4" x14ac:dyDescent="0.2">
      <c r="A10" s="7">
        <v>42660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25.83</v>
      </c>
      <c r="C12">
        <v>25.83</v>
      </c>
    </row>
    <row r="13" spans="1:4" x14ac:dyDescent="0.2">
      <c r="A13" t="s">
        <v>5</v>
      </c>
      <c r="B13">
        <v>23.11</v>
      </c>
      <c r="C13">
        <v>23.11</v>
      </c>
    </row>
    <row r="15" spans="1:4" x14ac:dyDescent="0.2">
      <c r="D15">
        <f>SUM(B11:C14)</f>
        <v>97.88</v>
      </c>
    </row>
    <row r="18" spans="1:4" x14ac:dyDescent="0.2">
      <c r="A18" s="8">
        <v>42667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25.83</v>
      </c>
      <c r="C20">
        <v>25.83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98.460000000000008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42674</v>
      </c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98.460000000000008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389.46000000000004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7ED4-F8BE-489E-BEEB-C89C5516A304}">
  <dimension ref="A1:D38"/>
  <sheetViews>
    <sheetView view="pageBreakPreview" topLeftCell="A7" zoomScaleNormal="100" workbookViewId="0">
      <selection activeCell="A27" sqref="A27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42681</v>
      </c>
    </row>
    <row r="4" spans="1:4" x14ac:dyDescent="0.2">
      <c r="A4" t="s">
        <v>4</v>
      </c>
      <c r="B4">
        <v>25.83</v>
      </c>
      <c r="C4">
        <v>25.83</v>
      </c>
    </row>
    <row r="5" spans="1:4" x14ac:dyDescent="0.2">
      <c r="A5" t="s">
        <v>5</v>
      </c>
      <c r="B5">
        <v>22.23</v>
      </c>
      <c r="C5">
        <v>22.23</v>
      </c>
    </row>
    <row r="7" spans="1:4" x14ac:dyDescent="0.2">
      <c r="D7">
        <f>SUM(B3:C6)</f>
        <v>96.12</v>
      </c>
    </row>
    <row r="10" spans="1:4" x14ac:dyDescent="0.2">
      <c r="A10" s="7">
        <v>42688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25.83</v>
      </c>
      <c r="C12">
        <v>25.83</v>
      </c>
    </row>
    <row r="13" spans="1:4" x14ac:dyDescent="0.2">
      <c r="A13" t="s">
        <v>5</v>
      </c>
      <c r="B13">
        <v>23.4</v>
      </c>
      <c r="C13">
        <v>23.4</v>
      </c>
    </row>
    <row r="15" spans="1:4" x14ac:dyDescent="0.2">
      <c r="D15">
        <f>SUM(B11:C14)</f>
        <v>98.460000000000008</v>
      </c>
    </row>
    <row r="18" spans="1:4" x14ac:dyDescent="0.2">
      <c r="A18" s="8">
        <v>42695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25.83</v>
      </c>
      <c r="C20">
        <v>25.83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98.460000000000008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42702</v>
      </c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98.460000000000008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391.5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D0F3-EEA3-499F-A1FD-491D745C43C3}">
  <dimension ref="A1:D38"/>
  <sheetViews>
    <sheetView view="pageBreakPreview" zoomScaleNormal="100" workbookViewId="0">
      <selection activeCell="B21" sqref="B21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42709</v>
      </c>
    </row>
    <row r="4" spans="1:4" x14ac:dyDescent="0.2">
      <c r="A4" t="s">
        <v>4</v>
      </c>
      <c r="B4">
        <v>25.83</v>
      </c>
      <c r="C4">
        <v>25.83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98.460000000000008</v>
      </c>
    </row>
    <row r="10" spans="1:4" x14ac:dyDescent="0.2">
      <c r="A10" s="7">
        <v>42716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25.83</v>
      </c>
      <c r="C12">
        <v>25.83</v>
      </c>
    </row>
    <row r="13" spans="1:4" x14ac:dyDescent="0.2">
      <c r="A13" t="s">
        <v>5</v>
      </c>
      <c r="B13">
        <v>22.52</v>
      </c>
      <c r="C13">
        <v>22.52</v>
      </c>
    </row>
    <row r="15" spans="1:4" x14ac:dyDescent="0.2">
      <c r="D15">
        <f>SUM(B11:C14)</f>
        <v>96.699999999999989</v>
      </c>
    </row>
    <row r="17" spans="1:4" x14ac:dyDescent="0.2">
      <c r="A17" s="8">
        <v>42723</v>
      </c>
    </row>
    <row r="18" spans="1:4" x14ac:dyDescent="0.2">
      <c r="A18" s="8"/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26.19</v>
      </c>
      <c r="C20">
        <v>26.19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99.18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42730</v>
      </c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98.460000000000008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SUM(B33:C34)</f>
        <v>0</v>
      </c>
    </row>
    <row r="38" spans="1:4" x14ac:dyDescent="0.2">
      <c r="A38" t="s">
        <v>186</v>
      </c>
      <c r="C38" t="s">
        <v>260</v>
      </c>
      <c r="D38">
        <f>D36+D30+D23+D15+D7</f>
        <v>392.80000000000007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F2B6-7963-463A-ACE8-9BBDDCB6FD03}">
  <dimension ref="A1:D38"/>
  <sheetViews>
    <sheetView view="pageBreakPreview" topLeftCell="A7" zoomScaleNormal="100" workbookViewId="0">
      <selection activeCell="B35" sqref="B35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42737</v>
      </c>
    </row>
    <row r="4" spans="1:4" x14ac:dyDescent="0.2">
      <c r="A4" t="s">
        <v>4</v>
      </c>
      <c r="B4">
        <v>25.83</v>
      </c>
      <c r="C4">
        <v>25.83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98.460000000000008</v>
      </c>
    </row>
    <row r="10" spans="1:4" x14ac:dyDescent="0.2">
      <c r="A10" s="7">
        <v>42744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25.83</v>
      </c>
      <c r="C12">
        <v>25.83</v>
      </c>
    </row>
    <row r="13" spans="1:4" x14ac:dyDescent="0.2">
      <c r="A13" t="s">
        <v>5</v>
      </c>
      <c r="B13">
        <v>23.4</v>
      </c>
      <c r="C13">
        <v>23.4</v>
      </c>
    </row>
    <row r="15" spans="1:4" x14ac:dyDescent="0.2">
      <c r="D15">
        <f>SUM(B11:C14)</f>
        <v>98.460000000000008</v>
      </c>
    </row>
    <row r="17" spans="1:4" x14ac:dyDescent="0.2">
      <c r="A17" s="8">
        <v>42751</v>
      </c>
    </row>
    <row r="18" spans="1:4" x14ac:dyDescent="0.2">
      <c r="A18" s="8"/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25.83</v>
      </c>
      <c r="C20">
        <v>25.83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98.460000000000008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42758</v>
      </c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98.460000000000008</v>
      </c>
    </row>
    <row r="31" spans="1:4" x14ac:dyDescent="0.2">
      <c r="A31" s="7">
        <v>42765</v>
      </c>
      <c r="B31" t="s">
        <v>9</v>
      </c>
      <c r="C31" t="s">
        <v>2</v>
      </c>
      <c r="D31" t="s">
        <v>7</v>
      </c>
    </row>
    <row r="33" spans="1:4" x14ac:dyDescent="0.2">
      <c r="A33" t="s">
        <v>4</v>
      </c>
      <c r="B33">
        <v>26.55</v>
      </c>
      <c r="C33">
        <v>26.55</v>
      </c>
    </row>
    <row r="34" spans="1:4" x14ac:dyDescent="0.2">
      <c r="A34" t="s">
        <v>5</v>
      </c>
      <c r="B34">
        <v>23.4</v>
      </c>
      <c r="C34">
        <v>23.4</v>
      </c>
    </row>
    <row r="36" spans="1:4" x14ac:dyDescent="0.2">
      <c r="D36">
        <f>SUM(B33:C34)</f>
        <v>99.9</v>
      </c>
    </row>
    <row r="38" spans="1:4" x14ac:dyDescent="0.2">
      <c r="A38" t="s">
        <v>186</v>
      </c>
      <c r="C38" t="s">
        <v>260</v>
      </c>
      <c r="D38">
        <f>D36+D30+D23+D15+D7</f>
        <v>493.74000000000012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C1E1-01FF-465B-8503-F1D91F922867}">
  <dimension ref="A1:D38"/>
  <sheetViews>
    <sheetView view="pageBreakPreview" topLeftCell="A10" zoomScaleNormal="100" workbookViewId="0">
      <selection activeCell="A10" sqref="A10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42737</v>
      </c>
    </row>
    <row r="4" spans="1:4" x14ac:dyDescent="0.2">
      <c r="A4" t="s">
        <v>4</v>
      </c>
      <c r="B4">
        <v>25.83</v>
      </c>
      <c r="C4">
        <v>25.83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98.460000000000008</v>
      </c>
    </row>
    <row r="10" spans="1:4" x14ac:dyDescent="0.2">
      <c r="A10" s="7">
        <v>42772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25.83</v>
      </c>
      <c r="C12">
        <v>25.83</v>
      </c>
    </row>
    <row r="13" spans="1:4" x14ac:dyDescent="0.2">
      <c r="A13" t="s">
        <v>5</v>
      </c>
      <c r="B13">
        <v>21.65</v>
      </c>
      <c r="C13">
        <v>21.65</v>
      </c>
    </row>
    <row r="15" spans="1:4" x14ac:dyDescent="0.2">
      <c r="D15">
        <f>SUM(B11:C14)</f>
        <v>94.960000000000008</v>
      </c>
    </row>
    <row r="17" spans="1:4" x14ac:dyDescent="0.2">
      <c r="A17" s="8">
        <v>42807</v>
      </c>
    </row>
    <row r="18" spans="1:4" x14ac:dyDescent="0.2">
      <c r="A18" s="8"/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25.83</v>
      </c>
      <c r="C20">
        <v>25.83</v>
      </c>
    </row>
    <row r="21" spans="1:4" x14ac:dyDescent="0.2">
      <c r="A21" t="s">
        <v>5</v>
      </c>
      <c r="B21">
        <v>22.23</v>
      </c>
      <c r="C21">
        <v>22.23</v>
      </c>
    </row>
    <row r="23" spans="1:4" x14ac:dyDescent="0.2">
      <c r="D23">
        <f>SUM(B19:C22)</f>
        <v>96.12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42783</v>
      </c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21.06</v>
      </c>
      <c r="C28">
        <v>21.06</v>
      </c>
    </row>
    <row r="30" spans="1:4" x14ac:dyDescent="0.2">
      <c r="D30">
        <f>B27+C27+B28+C28</f>
        <v>93.78</v>
      </c>
    </row>
    <row r="31" spans="1:4" x14ac:dyDescent="0.2">
      <c r="A31" s="7">
        <v>42793</v>
      </c>
      <c r="B31" t="s">
        <v>9</v>
      </c>
      <c r="C31" t="s">
        <v>2</v>
      </c>
      <c r="D31" t="s">
        <v>7</v>
      </c>
    </row>
    <row r="33" spans="1:4" x14ac:dyDescent="0.2">
      <c r="A33" t="s">
        <v>4</v>
      </c>
      <c r="B33">
        <v>25.83</v>
      </c>
      <c r="C33">
        <v>25.83</v>
      </c>
    </row>
    <row r="34" spans="1:4" x14ac:dyDescent="0.2">
      <c r="A34" t="s">
        <v>5</v>
      </c>
      <c r="B34">
        <v>22.23</v>
      </c>
      <c r="C34">
        <v>22.23</v>
      </c>
    </row>
    <row r="36" spans="1:4" x14ac:dyDescent="0.2">
      <c r="D36">
        <f>SUM(B33:C34)</f>
        <v>96.12</v>
      </c>
    </row>
    <row r="38" spans="1:4" x14ac:dyDescent="0.2">
      <c r="A38" t="s">
        <v>186</v>
      </c>
      <c r="C38" t="s">
        <v>260</v>
      </c>
      <c r="D38">
        <f>D36+D30+D23+D15+D7</f>
        <v>479.44000000000005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C41E-B413-4620-9781-7FEF70E4B2A1}">
  <dimension ref="A1:D38"/>
  <sheetViews>
    <sheetView view="pageBreakPreview" zoomScaleNormal="100" workbookViewId="0">
      <selection activeCell="C21" sqref="C21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42800</v>
      </c>
    </row>
    <row r="4" spans="1:4" x14ac:dyDescent="0.2">
      <c r="A4" t="s">
        <v>4</v>
      </c>
      <c r="B4">
        <v>25.83</v>
      </c>
      <c r="C4">
        <v>25.83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98.460000000000008</v>
      </c>
    </row>
    <row r="10" spans="1:4" x14ac:dyDescent="0.2">
      <c r="A10" s="7">
        <v>42807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25.83</v>
      </c>
      <c r="C12">
        <v>25.83</v>
      </c>
    </row>
    <row r="13" spans="1:4" x14ac:dyDescent="0.2">
      <c r="A13" t="s">
        <v>5</v>
      </c>
      <c r="B13">
        <v>21.35</v>
      </c>
      <c r="C13">
        <v>21.35</v>
      </c>
    </row>
    <row r="15" spans="1:4" x14ac:dyDescent="0.2">
      <c r="D15">
        <f>SUM(B11:C14)</f>
        <v>94.359999999999985</v>
      </c>
    </row>
    <row r="17" spans="1:4" x14ac:dyDescent="0.2">
      <c r="A17" s="8">
        <v>42814</v>
      </c>
    </row>
    <row r="18" spans="1:4" x14ac:dyDescent="0.2">
      <c r="A18" s="8"/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25.83</v>
      </c>
      <c r="C20">
        <v>25.83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98.460000000000008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42821</v>
      </c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98.460000000000008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8" spans="1:4" x14ac:dyDescent="0.2">
      <c r="A38" t="s">
        <v>186</v>
      </c>
      <c r="C38" t="s">
        <v>260</v>
      </c>
      <c r="D38">
        <f>D36+D30+D23+D15+D7</f>
        <v>389.74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FC03-B36D-405A-818C-2508CD38E064}">
  <dimension ref="A1:D38"/>
  <sheetViews>
    <sheetView view="pageBreakPreview" zoomScaleNormal="100" workbookViewId="0">
      <selection activeCell="B27" sqref="B27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42828</v>
      </c>
    </row>
    <row r="4" spans="1:4" x14ac:dyDescent="0.2">
      <c r="A4" t="s">
        <v>4</v>
      </c>
      <c r="B4">
        <v>25.83</v>
      </c>
      <c r="C4">
        <v>25.83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98.460000000000008</v>
      </c>
    </row>
    <row r="10" spans="1:4" x14ac:dyDescent="0.2">
      <c r="A10" s="7">
        <v>42835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25.83</v>
      </c>
      <c r="C12">
        <v>25.83</v>
      </c>
    </row>
    <row r="13" spans="1:4" x14ac:dyDescent="0.2">
      <c r="A13" t="s">
        <v>5</v>
      </c>
      <c r="B13">
        <v>23.4</v>
      </c>
      <c r="C13">
        <v>23.4</v>
      </c>
    </row>
    <row r="15" spans="1:4" x14ac:dyDescent="0.2">
      <c r="D15">
        <f>SUM(B11:C14)</f>
        <v>98.460000000000008</v>
      </c>
    </row>
    <row r="17" spans="1:4" x14ac:dyDescent="0.2">
      <c r="A17" s="8"/>
    </row>
    <row r="18" spans="1:4" x14ac:dyDescent="0.2">
      <c r="A18" s="8">
        <v>42842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25.83</v>
      </c>
      <c r="C20">
        <v>25.83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98.460000000000008</v>
      </c>
    </row>
    <row r="25" spans="1:4" x14ac:dyDescent="0.2">
      <c r="A25" s="7"/>
      <c r="B25" t="s">
        <v>9</v>
      </c>
      <c r="C25" t="s">
        <v>2</v>
      </c>
      <c r="D25" t="s">
        <v>7</v>
      </c>
    </row>
    <row r="26" spans="1:4" x14ac:dyDescent="0.2">
      <c r="A26" s="8">
        <v>42849</v>
      </c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18.72</v>
      </c>
      <c r="C28">
        <v>18.72</v>
      </c>
    </row>
    <row r="30" spans="1:4" x14ac:dyDescent="0.2">
      <c r="D30">
        <f>B27+C27+B28+C28</f>
        <v>89.1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8" spans="1:4" x14ac:dyDescent="0.2">
      <c r="A38" t="s">
        <v>186</v>
      </c>
      <c r="C38" t="s">
        <v>260</v>
      </c>
      <c r="D38">
        <f>D36+D30+D23+D15+D7</f>
        <v>384.48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4831-E377-454E-906A-D3F731F0BACC}">
  <dimension ref="A1:D38"/>
  <sheetViews>
    <sheetView view="pageBreakPreview" zoomScaleNormal="100" workbookViewId="0">
      <selection activeCell="A33" sqref="A33:C34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42856</v>
      </c>
    </row>
    <row r="4" spans="1:4" x14ac:dyDescent="0.2">
      <c r="A4" t="s">
        <v>4</v>
      </c>
      <c r="B4">
        <v>25.83</v>
      </c>
      <c r="C4">
        <v>25.83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98.460000000000008</v>
      </c>
    </row>
    <row r="10" spans="1:4" x14ac:dyDescent="0.2">
      <c r="A10" s="7">
        <v>42863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25.83</v>
      </c>
      <c r="C12">
        <v>25.83</v>
      </c>
    </row>
    <row r="13" spans="1:4" x14ac:dyDescent="0.2">
      <c r="A13" t="s">
        <v>5</v>
      </c>
      <c r="B13">
        <v>22.96</v>
      </c>
      <c r="C13">
        <v>22.96</v>
      </c>
    </row>
    <row r="15" spans="1:4" x14ac:dyDescent="0.2">
      <c r="D15">
        <f>SUM(B11:C14)</f>
        <v>97.580000000000013</v>
      </c>
    </row>
    <row r="17" spans="1:4" x14ac:dyDescent="0.2">
      <c r="A17" s="8"/>
    </row>
    <row r="18" spans="1:4" x14ac:dyDescent="0.2">
      <c r="A18" s="8">
        <v>42870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25.83</v>
      </c>
      <c r="C20">
        <v>25.83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98.460000000000008</v>
      </c>
    </row>
    <row r="25" spans="1:4" x14ac:dyDescent="0.2">
      <c r="A25" s="7">
        <v>42877</v>
      </c>
      <c r="B25" t="s">
        <v>9</v>
      </c>
      <c r="C25" t="s">
        <v>2</v>
      </c>
      <c r="D25" t="s">
        <v>7</v>
      </c>
    </row>
    <row r="26" spans="1:4" x14ac:dyDescent="0.2">
      <c r="A26" s="8"/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98.460000000000008</v>
      </c>
    </row>
    <row r="31" spans="1:4" x14ac:dyDescent="0.2">
      <c r="A31" s="7">
        <v>42884</v>
      </c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  <c r="B33">
        <v>25.83</v>
      </c>
      <c r="C33">
        <v>25.83</v>
      </c>
    </row>
    <row r="34" spans="1:4" x14ac:dyDescent="0.2">
      <c r="A34" t="s">
        <v>5</v>
      </c>
      <c r="B34">
        <v>23.4</v>
      </c>
      <c r="C34">
        <v>23.4</v>
      </c>
    </row>
    <row r="38" spans="1:4" x14ac:dyDescent="0.2">
      <c r="A38" t="s">
        <v>186</v>
      </c>
      <c r="C38" t="s">
        <v>260</v>
      </c>
      <c r="D38">
        <f>D36+D30+D23+D15+D7</f>
        <v>392.96000000000004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A5F2-75EC-47EE-832E-EB5EC3A73E57}">
  <dimension ref="A1:D38"/>
  <sheetViews>
    <sheetView view="pageBreakPreview" zoomScaleNormal="100" workbookViewId="0">
      <selection activeCell="B13" sqref="B13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42891</v>
      </c>
    </row>
    <row r="4" spans="1:4" x14ac:dyDescent="0.2">
      <c r="A4" t="s">
        <v>4</v>
      </c>
      <c r="B4">
        <v>25.83</v>
      </c>
      <c r="C4">
        <v>25.83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98.460000000000008</v>
      </c>
    </row>
    <row r="10" spans="1:4" x14ac:dyDescent="0.2">
      <c r="A10" s="7">
        <v>42898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27.83</v>
      </c>
      <c r="C12">
        <v>27.83</v>
      </c>
    </row>
    <row r="13" spans="1:4" x14ac:dyDescent="0.2">
      <c r="A13" t="s">
        <v>5</v>
      </c>
      <c r="B13">
        <v>21.94</v>
      </c>
      <c r="C13">
        <v>21.94</v>
      </c>
    </row>
    <row r="15" spans="1:4" x14ac:dyDescent="0.2">
      <c r="D15">
        <f>SUM(B11:C14)</f>
        <v>99.539999999999992</v>
      </c>
    </row>
    <row r="17" spans="1:4" x14ac:dyDescent="0.2">
      <c r="A17" s="8"/>
    </row>
    <row r="18" spans="1:4" x14ac:dyDescent="0.2">
      <c r="A18" s="8">
        <v>42905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25.83</v>
      </c>
      <c r="C20">
        <v>25.83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98.460000000000008</v>
      </c>
    </row>
    <row r="25" spans="1:4" x14ac:dyDescent="0.2">
      <c r="A25" s="7">
        <v>42912</v>
      </c>
      <c r="B25" t="s">
        <v>9</v>
      </c>
      <c r="C25" t="s">
        <v>2</v>
      </c>
      <c r="D25" t="s">
        <v>7</v>
      </c>
    </row>
    <row r="26" spans="1:4" x14ac:dyDescent="0.2">
      <c r="A26" s="8"/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98.460000000000008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8" spans="1:4" x14ac:dyDescent="0.2">
      <c r="A38" t="s">
        <v>186</v>
      </c>
      <c r="C38" t="s">
        <v>260</v>
      </c>
      <c r="D38">
        <f>D36+D30+D23+D15+D7</f>
        <v>394.92000000000007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549-D386-4340-B31F-89FA46E346A9}">
  <dimension ref="A1:D38"/>
  <sheetViews>
    <sheetView view="pageBreakPreview" zoomScaleNormal="100" workbookViewId="0">
      <selection activeCell="B16" sqref="B1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42919</v>
      </c>
    </row>
    <row r="4" spans="1:4" x14ac:dyDescent="0.2">
      <c r="A4" t="s">
        <v>4</v>
      </c>
      <c r="B4">
        <v>29.1</v>
      </c>
      <c r="C4">
        <v>29.1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105</v>
      </c>
    </row>
    <row r="10" spans="1:4" x14ac:dyDescent="0.2">
      <c r="A10" s="7">
        <v>42926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29.1</v>
      </c>
      <c r="C12">
        <v>29.1</v>
      </c>
    </row>
    <row r="13" spans="1:4" x14ac:dyDescent="0.2">
      <c r="A13" t="s">
        <v>5</v>
      </c>
      <c r="B13">
        <v>23.4</v>
      </c>
      <c r="C13">
        <v>23.4</v>
      </c>
    </row>
    <row r="15" spans="1:4" x14ac:dyDescent="0.2">
      <c r="D15">
        <f>SUM(B11:C14)</f>
        <v>105</v>
      </c>
    </row>
    <row r="17" spans="1:4" x14ac:dyDescent="0.2">
      <c r="A17" s="8"/>
    </row>
    <row r="18" spans="1:4" x14ac:dyDescent="0.2">
      <c r="A18" s="8">
        <v>42933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29.1</v>
      </c>
      <c r="C20">
        <v>29.1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105</v>
      </c>
    </row>
    <row r="25" spans="1:4" x14ac:dyDescent="0.2">
      <c r="A25" s="7">
        <v>42940</v>
      </c>
      <c r="B25" t="s">
        <v>9</v>
      </c>
      <c r="C25" t="s">
        <v>2</v>
      </c>
      <c r="D25" t="s">
        <v>7</v>
      </c>
    </row>
    <row r="26" spans="1:4" x14ac:dyDescent="0.2">
      <c r="A26" s="8"/>
    </row>
    <row r="27" spans="1:4" x14ac:dyDescent="0.2">
      <c r="A27" t="s">
        <v>4</v>
      </c>
      <c r="B27">
        <v>29.1</v>
      </c>
      <c r="C27">
        <v>29.1</v>
      </c>
    </row>
    <row r="28" spans="1:4" x14ac:dyDescent="0.2">
      <c r="A28" t="s">
        <v>5</v>
      </c>
      <c r="B28">
        <v>21.65</v>
      </c>
      <c r="C28">
        <v>21.65</v>
      </c>
    </row>
    <row r="30" spans="1:4" x14ac:dyDescent="0.2">
      <c r="D30">
        <f>B27+C27+B28+C28</f>
        <v>101.5</v>
      </c>
    </row>
    <row r="31" spans="1:4" x14ac:dyDescent="0.2">
      <c r="A31" s="7">
        <v>42947</v>
      </c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  <c r="B33">
        <v>23.4</v>
      </c>
      <c r="C33">
        <v>23.4</v>
      </c>
    </row>
    <row r="34" spans="1:4" x14ac:dyDescent="0.2">
      <c r="A34" t="s">
        <v>5</v>
      </c>
      <c r="B34">
        <v>29.1</v>
      </c>
      <c r="C34">
        <v>29.1</v>
      </c>
    </row>
    <row r="36" spans="1:4" x14ac:dyDescent="0.2">
      <c r="D36">
        <f>B33+C33+B34+C34</f>
        <v>105</v>
      </c>
    </row>
    <row r="38" spans="1:4" x14ac:dyDescent="0.2">
      <c r="A38" t="s">
        <v>186</v>
      </c>
      <c r="C38" t="s">
        <v>260</v>
      </c>
      <c r="D38">
        <f>D36+D30+D23+D15+D7</f>
        <v>521.5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2984-E5D8-46E3-8FFC-EA3701BD5B16}">
  <dimension ref="A1:D38"/>
  <sheetViews>
    <sheetView view="pageBreakPreview" zoomScaleNormal="100" workbookViewId="0">
      <selection activeCell="C29" sqref="C29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42954</v>
      </c>
    </row>
    <row r="4" spans="1:4" x14ac:dyDescent="0.2">
      <c r="A4" t="s">
        <v>4</v>
      </c>
      <c r="B4">
        <v>29.1</v>
      </c>
      <c r="C4">
        <v>29.1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105</v>
      </c>
    </row>
    <row r="10" spans="1:4" x14ac:dyDescent="0.2">
      <c r="A10" s="7">
        <v>42961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29.1</v>
      </c>
      <c r="C12">
        <v>29.1</v>
      </c>
    </row>
    <row r="13" spans="1:4" x14ac:dyDescent="0.2">
      <c r="A13" t="s">
        <v>5</v>
      </c>
      <c r="B13">
        <v>23.4</v>
      </c>
      <c r="C13">
        <v>23.4</v>
      </c>
    </row>
    <row r="15" spans="1:4" x14ac:dyDescent="0.2">
      <c r="D15">
        <f>SUM(B11:C14)</f>
        <v>105</v>
      </c>
    </row>
    <row r="17" spans="1:4" x14ac:dyDescent="0.2">
      <c r="A17" s="8"/>
    </row>
    <row r="18" spans="1:4" x14ac:dyDescent="0.2">
      <c r="A18" s="8">
        <v>42968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26.01</v>
      </c>
      <c r="C20">
        <v>26.01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98.82</v>
      </c>
    </row>
    <row r="25" spans="1:4" x14ac:dyDescent="0.2">
      <c r="A25" s="7">
        <v>42975</v>
      </c>
      <c r="B25" t="s">
        <v>9</v>
      </c>
      <c r="C25" t="s">
        <v>2</v>
      </c>
      <c r="D25" t="s">
        <v>7</v>
      </c>
    </row>
    <row r="26" spans="1:4" x14ac:dyDescent="0.2">
      <c r="A26" s="8"/>
    </row>
    <row r="27" spans="1:4" x14ac:dyDescent="0.2">
      <c r="A27" t="s">
        <v>4</v>
      </c>
      <c r="B27">
        <v>25.83</v>
      </c>
      <c r="C27">
        <v>25.83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98.460000000000008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B33+C33+B34+C34</f>
        <v>0</v>
      </c>
    </row>
    <row r="38" spans="1:4" x14ac:dyDescent="0.2">
      <c r="A38" t="s">
        <v>186</v>
      </c>
      <c r="C38" t="s">
        <v>260</v>
      </c>
      <c r="D38">
        <f>D36+D30+D23+D15+D7</f>
        <v>407.28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03AB-61DF-4B2C-9E52-E6B571A82554}">
  <dimension ref="A1:D38"/>
  <sheetViews>
    <sheetView view="pageBreakPreview" zoomScaleNormal="100" workbookViewId="0">
      <selection activeCell="D42" sqref="D42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42982</v>
      </c>
    </row>
    <row r="4" spans="1:4" x14ac:dyDescent="0.2">
      <c r="A4" t="s">
        <v>4</v>
      </c>
      <c r="B4">
        <v>29.1</v>
      </c>
      <c r="C4">
        <v>29.1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105</v>
      </c>
    </row>
    <row r="10" spans="1:4" x14ac:dyDescent="0.2">
      <c r="A10" s="7">
        <v>42989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29.1</v>
      </c>
      <c r="C12">
        <v>29.1</v>
      </c>
    </row>
    <row r="13" spans="1:4" x14ac:dyDescent="0.2">
      <c r="A13" t="s">
        <v>5</v>
      </c>
      <c r="B13">
        <v>22.52</v>
      </c>
      <c r="C13">
        <v>22.52</v>
      </c>
    </row>
    <row r="15" spans="1:4" x14ac:dyDescent="0.2">
      <c r="D15">
        <f>SUM(B11:C14)</f>
        <v>103.24</v>
      </c>
    </row>
    <row r="17" spans="1:4" x14ac:dyDescent="0.2">
      <c r="A17" s="8"/>
    </row>
    <row r="18" spans="1:4" x14ac:dyDescent="0.2">
      <c r="A18" s="8">
        <v>42996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29.1</v>
      </c>
      <c r="C20">
        <v>29.1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105</v>
      </c>
    </row>
    <row r="25" spans="1:4" x14ac:dyDescent="0.2">
      <c r="A25" s="7">
        <v>43003</v>
      </c>
      <c r="B25" t="s">
        <v>9</v>
      </c>
      <c r="C25" t="s">
        <v>2</v>
      </c>
      <c r="D25" t="s">
        <v>7</v>
      </c>
    </row>
    <row r="26" spans="1:4" x14ac:dyDescent="0.2">
      <c r="A26" s="8"/>
    </row>
    <row r="27" spans="1:4" x14ac:dyDescent="0.2">
      <c r="A27" t="s">
        <v>4</v>
      </c>
      <c r="B27">
        <v>27.28</v>
      </c>
      <c r="C27">
        <v>27.28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101.36000000000001</v>
      </c>
    </row>
    <row r="31" spans="1:4" x14ac:dyDescent="0.2">
      <c r="A31" s="7"/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</row>
    <row r="34" spans="1:4" x14ac:dyDescent="0.2">
      <c r="A34" t="s">
        <v>5</v>
      </c>
    </row>
    <row r="36" spans="1:4" x14ac:dyDescent="0.2">
      <c r="D36">
        <f>B33+C33+B34+C34</f>
        <v>0</v>
      </c>
    </row>
    <row r="38" spans="1:4" x14ac:dyDescent="0.2">
      <c r="A38" t="s">
        <v>186</v>
      </c>
      <c r="C38" t="s">
        <v>260</v>
      </c>
      <c r="D38">
        <f>D36+D30+D23+D15+D7</f>
        <v>414.6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BA3-5265-4C8B-BA52-0C51AAFDA289}">
  <dimension ref="A1:D38"/>
  <sheetViews>
    <sheetView view="pageBreakPreview" zoomScaleNormal="100" workbookViewId="0">
      <selection sqref="A1:IV65536"/>
    </sheetView>
  </sheetViews>
  <sheetFormatPr defaultRowHeight="12.75" x14ac:dyDescent="0.2"/>
  <cols>
    <col min="1" max="1" width="23.28515625" customWidth="1"/>
    <col min="2" max="2" width="21" customWidth="1"/>
    <col min="3" max="3" width="26.42578125" customWidth="1"/>
    <col min="4" max="4" width="21.140625" customWidth="1"/>
  </cols>
  <sheetData>
    <row r="1" spans="1:4" x14ac:dyDescent="0.2">
      <c r="A1" t="s">
        <v>0</v>
      </c>
    </row>
    <row r="2" spans="1:4" x14ac:dyDescent="0.2">
      <c r="A2" s="7"/>
      <c r="B2" t="s">
        <v>1</v>
      </c>
      <c r="C2" t="s">
        <v>2</v>
      </c>
      <c r="D2" t="s">
        <v>7</v>
      </c>
    </row>
    <row r="3" spans="1:4" x14ac:dyDescent="0.2">
      <c r="A3" s="7">
        <v>43010</v>
      </c>
    </row>
    <row r="4" spans="1:4" x14ac:dyDescent="0.2">
      <c r="A4" t="s">
        <v>4</v>
      </c>
      <c r="B4">
        <v>29.1</v>
      </c>
      <c r="C4">
        <v>29.1</v>
      </c>
    </row>
    <row r="5" spans="1:4" x14ac:dyDescent="0.2">
      <c r="A5" t="s">
        <v>263</v>
      </c>
      <c r="B5">
        <v>23.4</v>
      </c>
      <c r="C5">
        <v>23.4</v>
      </c>
    </row>
    <row r="7" spans="1:4" x14ac:dyDescent="0.2">
      <c r="D7">
        <f>SUM(B3:C6)</f>
        <v>105</v>
      </c>
    </row>
    <row r="10" spans="1:4" x14ac:dyDescent="0.2">
      <c r="A10" s="7">
        <v>43017</v>
      </c>
      <c r="B10" t="s">
        <v>9</v>
      </c>
      <c r="C10" t="s">
        <v>2</v>
      </c>
      <c r="D10" t="s">
        <v>7</v>
      </c>
    </row>
    <row r="12" spans="1:4" x14ac:dyDescent="0.2">
      <c r="A12" t="s">
        <v>4</v>
      </c>
      <c r="B12">
        <v>29.1</v>
      </c>
      <c r="C12">
        <v>29.1</v>
      </c>
    </row>
    <row r="13" spans="1:4" x14ac:dyDescent="0.2">
      <c r="A13" t="s">
        <v>5</v>
      </c>
      <c r="B13">
        <v>23.25</v>
      </c>
      <c r="C13">
        <v>23.25</v>
      </c>
    </row>
    <row r="15" spans="1:4" x14ac:dyDescent="0.2">
      <c r="D15">
        <f>SUM(B11:C14)</f>
        <v>104.7</v>
      </c>
    </row>
    <row r="17" spans="1:4" x14ac:dyDescent="0.2">
      <c r="A17" s="8"/>
    </row>
    <row r="18" spans="1:4" x14ac:dyDescent="0.2">
      <c r="A18" s="8">
        <v>43024</v>
      </c>
      <c r="B18" t="s">
        <v>9</v>
      </c>
      <c r="C18" t="s">
        <v>2</v>
      </c>
      <c r="D18" t="s">
        <v>7</v>
      </c>
    </row>
    <row r="19" spans="1:4" x14ac:dyDescent="0.2">
      <c r="A19" s="8"/>
    </row>
    <row r="20" spans="1:4" x14ac:dyDescent="0.2">
      <c r="A20" t="s">
        <v>4</v>
      </c>
      <c r="B20">
        <v>29.1</v>
      </c>
      <c r="C20">
        <v>29.1</v>
      </c>
    </row>
    <row r="21" spans="1:4" x14ac:dyDescent="0.2">
      <c r="A21" t="s">
        <v>5</v>
      </c>
      <c r="B21">
        <v>23.4</v>
      </c>
      <c r="C21">
        <v>23.4</v>
      </c>
    </row>
    <row r="23" spans="1:4" x14ac:dyDescent="0.2">
      <c r="D23">
        <f>SUM(B19:C22)</f>
        <v>105</v>
      </c>
    </row>
    <row r="25" spans="1:4" x14ac:dyDescent="0.2">
      <c r="A25" s="7">
        <v>43031</v>
      </c>
      <c r="B25" t="s">
        <v>9</v>
      </c>
      <c r="C25" t="s">
        <v>2</v>
      </c>
      <c r="D25" t="s">
        <v>7</v>
      </c>
    </row>
    <row r="26" spans="1:4" x14ac:dyDescent="0.2">
      <c r="A26" s="8"/>
    </row>
    <row r="27" spans="1:4" x14ac:dyDescent="0.2">
      <c r="A27" t="s">
        <v>4</v>
      </c>
      <c r="B27">
        <v>29.1</v>
      </c>
      <c r="C27">
        <v>29.1</v>
      </c>
    </row>
    <row r="28" spans="1:4" x14ac:dyDescent="0.2">
      <c r="A28" t="s">
        <v>5</v>
      </c>
      <c r="B28">
        <v>23.4</v>
      </c>
      <c r="C28">
        <v>23.4</v>
      </c>
    </row>
    <row r="30" spans="1:4" x14ac:dyDescent="0.2">
      <c r="D30">
        <f>B27+C27+B28+C28</f>
        <v>105</v>
      </c>
    </row>
    <row r="31" spans="1:4" x14ac:dyDescent="0.2">
      <c r="A31" s="7">
        <v>43038</v>
      </c>
      <c r="B31" t="s">
        <v>9</v>
      </c>
      <c r="C31" t="s">
        <v>2</v>
      </c>
      <c r="D31" t="s">
        <v>7</v>
      </c>
    </row>
    <row r="32" spans="1:4" x14ac:dyDescent="0.2">
      <c r="A32" s="8"/>
    </row>
    <row r="33" spans="1:4" x14ac:dyDescent="0.2">
      <c r="A33" t="s">
        <v>4</v>
      </c>
      <c r="B33">
        <v>29.1</v>
      </c>
      <c r="C33">
        <v>29.1</v>
      </c>
    </row>
    <row r="34" spans="1:4" x14ac:dyDescent="0.2">
      <c r="A34" t="s">
        <v>5</v>
      </c>
      <c r="B34">
        <v>23.4</v>
      </c>
      <c r="C34">
        <v>23.4</v>
      </c>
    </row>
    <row r="36" spans="1:4" x14ac:dyDescent="0.2">
      <c r="D36">
        <f>B33+C33+B34+C34</f>
        <v>105</v>
      </c>
    </row>
    <row r="38" spans="1:4" x14ac:dyDescent="0.2">
      <c r="A38" t="s">
        <v>186</v>
      </c>
      <c r="C38" t="s">
        <v>260</v>
      </c>
      <c r="D38">
        <f>D36+D30+D23+D15+D7</f>
        <v>524.70000000000005</v>
      </c>
    </row>
  </sheetData>
  <printOptions gridLines="1"/>
  <pageMargins left="0.75" right="0.75" top="1" bottom="1" header="0.5" footer="0.5"/>
  <pageSetup scale="98" orientation="landscape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24FE-7786-4FE8-BC5C-3F9616A8D032}">
  <dimension ref="A1:D38"/>
  <sheetViews>
    <sheetView workbookViewId="0">
      <selection activeCell="D21" sqref="D21"/>
    </sheetView>
  </sheetViews>
  <sheetFormatPr defaultRowHeight="12.75" x14ac:dyDescent="0.2"/>
  <cols>
    <col min="1" max="1" width="23.28515625" customWidth="1"/>
    <col min="2" max="2" width="21" style="9" customWidth="1"/>
    <col min="3" max="3" width="26.42578125" style="9" customWidth="1"/>
    <col min="4" max="4" width="21.140625" style="9" customWidth="1"/>
  </cols>
  <sheetData>
    <row r="1" spans="1:4" x14ac:dyDescent="0.2">
      <c r="A1" t="s">
        <v>0</v>
      </c>
    </row>
    <row r="2" spans="1:4" x14ac:dyDescent="0.2">
      <c r="A2" s="7"/>
      <c r="B2" s="9" t="s">
        <v>1</v>
      </c>
      <c r="C2" s="9" t="s">
        <v>2</v>
      </c>
      <c r="D2" s="9" t="s">
        <v>7</v>
      </c>
    </row>
    <row r="3" spans="1:4" x14ac:dyDescent="0.2">
      <c r="A3" s="7">
        <v>43045</v>
      </c>
    </row>
    <row r="4" spans="1:4" x14ac:dyDescent="0.2">
      <c r="A4" t="s">
        <v>4</v>
      </c>
      <c r="B4" s="9">
        <v>29.1</v>
      </c>
      <c r="C4" s="9">
        <f>B4</f>
        <v>29.1</v>
      </c>
    </row>
    <row r="5" spans="1:4" x14ac:dyDescent="0.2">
      <c r="A5" t="s">
        <v>263</v>
      </c>
      <c r="B5" s="9">
        <v>23.11</v>
      </c>
      <c r="C5" s="9">
        <f>B5</f>
        <v>23.11</v>
      </c>
    </row>
    <row r="7" spans="1:4" x14ac:dyDescent="0.2">
      <c r="D7" s="9">
        <f>SUM(B3:C6)</f>
        <v>104.42</v>
      </c>
    </row>
    <row r="10" spans="1:4" x14ac:dyDescent="0.2">
      <c r="A10" s="7"/>
      <c r="B10" s="9" t="s">
        <v>9</v>
      </c>
      <c r="C10" s="9" t="s">
        <v>2</v>
      </c>
      <c r="D10" s="9" t="s">
        <v>7</v>
      </c>
    </row>
    <row r="11" spans="1:4" x14ac:dyDescent="0.2">
      <c r="A11" s="8">
        <v>43052</v>
      </c>
    </row>
    <row r="12" spans="1:4" x14ac:dyDescent="0.2">
      <c r="A12" t="s">
        <v>4</v>
      </c>
      <c r="B12" s="9">
        <v>29.1</v>
      </c>
      <c r="C12" s="9">
        <f>B12</f>
        <v>29.1</v>
      </c>
    </row>
    <row r="13" spans="1:4" x14ac:dyDescent="0.2">
      <c r="A13" t="s">
        <v>5</v>
      </c>
      <c r="B13" s="9">
        <v>23.21</v>
      </c>
      <c r="C13" s="9">
        <f>B13</f>
        <v>23.21</v>
      </c>
    </row>
    <row r="15" spans="1:4" x14ac:dyDescent="0.2">
      <c r="D15" s="9">
        <f>SUM(B11:C14)</f>
        <v>104.62</v>
      </c>
    </row>
    <row r="17" spans="1:4" x14ac:dyDescent="0.2">
      <c r="A17" s="8"/>
    </row>
    <row r="18" spans="1:4" x14ac:dyDescent="0.2">
      <c r="A18" s="8"/>
      <c r="B18" s="9" t="s">
        <v>9</v>
      </c>
      <c r="C18" s="9" t="s">
        <v>2</v>
      </c>
      <c r="D18" s="9" t="s">
        <v>7</v>
      </c>
    </row>
    <row r="19" spans="1:4" x14ac:dyDescent="0.2">
      <c r="A19" s="8">
        <v>43059</v>
      </c>
    </row>
    <row r="20" spans="1:4" x14ac:dyDescent="0.2">
      <c r="A20" t="s">
        <v>4</v>
      </c>
      <c r="B20" s="9">
        <v>29.1</v>
      </c>
      <c r="C20" s="9">
        <f>B20</f>
        <v>29.1</v>
      </c>
    </row>
    <row r="21" spans="1:4" x14ac:dyDescent="0.2">
      <c r="A21" t="s">
        <v>5</v>
      </c>
      <c r="B21" s="9">
        <v>23.4</v>
      </c>
      <c r="C21" s="9">
        <f>B21</f>
        <v>23.4</v>
      </c>
    </row>
    <row r="23" spans="1:4" x14ac:dyDescent="0.2">
      <c r="D23" s="9">
        <f>SUM(B19:C22)</f>
        <v>105</v>
      </c>
    </row>
    <row r="25" spans="1:4" x14ac:dyDescent="0.2">
      <c r="A25" s="7"/>
      <c r="B25" s="9" t="s">
        <v>9</v>
      </c>
      <c r="C25" s="9" t="s">
        <v>2</v>
      </c>
      <c r="D25" s="9" t="s">
        <v>7</v>
      </c>
    </row>
    <row r="26" spans="1:4" x14ac:dyDescent="0.2">
      <c r="A26" s="8">
        <v>43066</v>
      </c>
    </row>
    <row r="27" spans="1:4" x14ac:dyDescent="0.2">
      <c r="A27" t="s">
        <v>4</v>
      </c>
      <c r="B27" s="9">
        <v>29.1</v>
      </c>
      <c r="C27" s="9">
        <f>B27</f>
        <v>29.1</v>
      </c>
    </row>
    <row r="28" spans="1:4" x14ac:dyDescent="0.2">
      <c r="A28" t="s">
        <v>5</v>
      </c>
      <c r="B28" s="9">
        <v>23.4</v>
      </c>
      <c r="C28" s="9">
        <f>B28</f>
        <v>23.4</v>
      </c>
    </row>
    <row r="30" spans="1:4" x14ac:dyDescent="0.2">
      <c r="D30" s="9">
        <f>B27+C27+B28+C28</f>
        <v>105</v>
      </c>
    </row>
    <row r="31" spans="1:4" x14ac:dyDescent="0.2">
      <c r="A31" s="7"/>
      <c r="B31" s="9" t="s">
        <v>9</v>
      </c>
      <c r="C31" s="9" t="s">
        <v>2</v>
      </c>
      <c r="D31" s="9" t="s">
        <v>7</v>
      </c>
    </row>
    <row r="32" spans="1:4" x14ac:dyDescent="0.2">
      <c r="A32" s="8"/>
    </row>
    <row r="33" spans="1:4" x14ac:dyDescent="0.2">
      <c r="A33" t="s">
        <v>4</v>
      </c>
      <c r="C33" s="9">
        <f>B33</f>
        <v>0</v>
      </c>
    </row>
    <row r="34" spans="1:4" x14ac:dyDescent="0.2">
      <c r="A34" t="s">
        <v>5</v>
      </c>
      <c r="C34" s="9">
        <f>B34</f>
        <v>0</v>
      </c>
    </row>
    <row r="36" spans="1:4" x14ac:dyDescent="0.2">
      <c r="D36" s="9">
        <f>B33+C33+B34+C34</f>
        <v>0</v>
      </c>
    </row>
    <row r="38" spans="1:4" x14ac:dyDescent="0.2">
      <c r="A38" t="s">
        <v>186</v>
      </c>
      <c r="C38" s="9" t="s">
        <v>260</v>
      </c>
      <c r="D38" s="9">
        <f>D36+D30+D23+D15+D7</f>
        <v>419.04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DC15-561B-4B0C-AC59-916281D1ED5E}">
  <dimension ref="A1:D38"/>
  <sheetViews>
    <sheetView workbookViewId="0">
      <selection activeCell="B33" sqref="B33:B35"/>
    </sheetView>
  </sheetViews>
  <sheetFormatPr defaultRowHeight="12.75" x14ac:dyDescent="0.2"/>
  <cols>
    <col min="1" max="1" width="23.28515625" style="8" customWidth="1"/>
    <col min="2" max="2" width="21" style="9" customWidth="1"/>
    <col min="3" max="3" width="26.42578125" style="9" customWidth="1"/>
    <col min="4" max="4" width="21.140625" style="9" customWidth="1"/>
  </cols>
  <sheetData>
    <row r="1" spans="1:4" x14ac:dyDescent="0.2">
      <c r="A1" s="8" t="s">
        <v>0</v>
      </c>
    </row>
    <row r="2" spans="1:4" x14ac:dyDescent="0.2">
      <c r="A2" s="10"/>
      <c r="B2" s="9" t="s">
        <v>1</v>
      </c>
      <c r="C2" s="9" t="s">
        <v>2</v>
      </c>
      <c r="D2" s="9" t="s">
        <v>7</v>
      </c>
    </row>
    <row r="3" spans="1:4" x14ac:dyDescent="0.2">
      <c r="A3" s="10">
        <v>43101</v>
      </c>
    </row>
    <row r="4" spans="1:4" x14ac:dyDescent="0.2">
      <c r="A4" s="8" t="s">
        <v>4</v>
      </c>
      <c r="B4" s="9">
        <v>29.1</v>
      </c>
      <c r="C4" s="9">
        <f>B4</f>
        <v>29.1</v>
      </c>
    </row>
    <row r="5" spans="1:4" x14ac:dyDescent="0.2">
      <c r="A5" s="8" t="s">
        <v>263</v>
      </c>
      <c r="B5" s="9">
        <v>23.4</v>
      </c>
      <c r="C5" s="9">
        <f>B5</f>
        <v>23.4</v>
      </c>
    </row>
    <row r="7" spans="1:4" x14ac:dyDescent="0.2">
      <c r="D7" s="9">
        <f>SUM(B3:C6)</f>
        <v>105</v>
      </c>
    </row>
    <row r="10" spans="1:4" x14ac:dyDescent="0.2">
      <c r="A10" s="10"/>
      <c r="B10" s="9" t="s">
        <v>9</v>
      </c>
      <c r="C10" s="9" t="s">
        <v>2</v>
      </c>
      <c r="D10" s="9" t="s">
        <v>7</v>
      </c>
    </row>
    <row r="11" spans="1:4" x14ac:dyDescent="0.2">
      <c r="A11" s="8">
        <v>43108</v>
      </c>
    </row>
    <row r="12" spans="1:4" x14ac:dyDescent="0.2">
      <c r="A12" s="8" t="s">
        <v>4</v>
      </c>
      <c r="B12" s="9">
        <v>29.1</v>
      </c>
      <c r="C12" s="9">
        <f>B12</f>
        <v>29.1</v>
      </c>
    </row>
    <row r="13" spans="1:4" x14ac:dyDescent="0.2">
      <c r="A13" s="8" t="s">
        <v>5</v>
      </c>
      <c r="B13" s="9">
        <v>23.4</v>
      </c>
      <c r="C13" s="9">
        <f>B13</f>
        <v>23.4</v>
      </c>
    </row>
    <row r="15" spans="1:4" x14ac:dyDescent="0.2">
      <c r="D15" s="9">
        <f>SUM(B11:C14)</f>
        <v>105</v>
      </c>
    </row>
    <row r="18" spans="1:4" x14ac:dyDescent="0.2">
      <c r="B18" s="9" t="s">
        <v>9</v>
      </c>
      <c r="C18" s="9" t="s">
        <v>2</v>
      </c>
      <c r="D18" s="9" t="s">
        <v>7</v>
      </c>
    </row>
    <row r="19" spans="1:4" x14ac:dyDescent="0.2">
      <c r="A19" s="8">
        <v>43115</v>
      </c>
    </row>
    <row r="20" spans="1:4" x14ac:dyDescent="0.2">
      <c r="A20" s="8" t="s">
        <v>4</v>
      </c>
      <c r="B20" s="9">
        <v>29.1</v>
      </c>
      <c r="C20" s="9">
        <f>B20</f>
        <v>29.1</v>
      </c>
    </row>
    <row r="21" spans="1:4" x14ac:dyDescent="0.2">
      <c r="A21" s="8" t="s">
        <v>5</v>
      </c>
      <c r="B21" s="9">
        <v>23.21</v>
      </c>
      <c r="C21" s="9">
        <f>B21</f>
        <v>23.21</v>
      </c>
    </row>
    <row r="23" spans="1:4" x14ac:dyDescent="0.2">
      <c r="D23" s="9">
        <f>SUM(B19:C22)</f>
        <v>104.62</v>
      </c>
    </row>
    <row r="25" spans="1:4" x14ac:dyDescent="0.2">
      <c r="A25" s="10"/>
      <c r="B25" s="9" t="s">
        <v>9</v>
      </c>
      <c r="C25" s="9" t="s">
        <v>2</v>
      </c>
      <c r="D25" s="9" t="s">
        <v>7</v>
      </c>
    </row>
    <row r="26" spans="1:4" x14ac:dyDescent="0.2">
      <c r="A26" s="8">
        <v>43122</v>
      </c>
    </row>
    <row r="27" spans="1:4" x14ac:dyDescent="0.2">
      <c r="A27" s="11" t="s">
        <v>4</v>
      </c>
      <c r="B27" s="9">
        <v>29.1</v>
      </c>
      <c r="C27" s="9">
        <f>B27</f>
        <v>29.1</v>
      </c>
    </row>
    <row r="28" spans="1:4" x14ac:dyDescent="0.2">
      <c r="A28" s="8" t="s">
        <v>5</v>
      </c>
      <c r="B28" s="9">
        <v>23.4</v>
      </c>
      <c r="C28" s="9">
        <f>B28</f>
        <v>23.4</v>
      </c>
    </row>
    <row r="30" spans="1:4" x14ac:dyDescent="0.2">
      <c r="D30" s="9">
        <f>B27+C27+B28+C28</f>
        <v>105</v>
      </c>
    </row>
    <row r="31" spans="1:4" x14ac:dyDescent="0.2">
      <c r="A31" s="10"/>
      <c r="B31" s="9" t="s">
        <v>9</v>
      </c>
      <c r="C31" s="9" t="s">
        <v>2</v>
      </c>
      <c r="D31" s="9" t="s">
        <v>7</v>
      </c>
    </row>
    <row r="32" spans="1:4" x14ac:dyDescent="0.2">
      <c r="A32" s="8">
        <v>43129</v>
      </c>
    </row>
    <row r="33" spans="1:4" x14ac:dyDescent="0.2">
      <c r="A33" s="8" t="s">
        <v>4</v>
      </c>
      <c r="C33" s="9">
        <f>B33</f>
        <v>0</v>
      </c>
    </row>
    <row r="34" spans="1:4" x14ac:dyDescent="0.2">
      <c r="A34" s="8" t="s">
        <v>5</v>
      </c>
      <c r="C34" s="9">
        <f>B34</f>
        <v>0</v>
      </c>
    </row>
    <row r="36" spans="1:4" x14ac:dyDescent="0.2">
      <c r="D36" s="9">
        <f>B33+C33+B34+C34</f>
        <v>0</v>
      </c>
    </row>
    <row r="38" spans="1:4" x14ac:dyDescent="0.2">
      <c r="A38" s="8" t="s">
        <v>186</v>
      </c>
      <c r="C38" s="9" t="s">
        <v>260</v>
      </c>
      <c r="D38" s="9">
        <f>D36+D30+D23+D15+D7</f>
        <v>419.62</v>
      </c>
    </row>
  </sheetData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6125-8D8D-49BA-9CD7-91B78F92B73F}">
  <dimension ref="A1:D38"/>
  <sheetViews>
    <sheetView workbookViewId="0">
      <selection activeCell="B29" sqref="B29"/>
    </sheetView>
  </sheetViews>
  <sheetFormatPr defaultRowHeight="12.75" x14ac:dyDescent="0.2"/>
  <cols>
    <col min="1" max="1" width="23.28515625" style="8" customWidth="1"/>
    <col min="2" max="2" width="21" style="9" customWidth="1"/>
    <col min="3" max="3" width="26.42578125" style="9" customWidth="1"/>
    <col min="4" max="4" width="21.140625" style="9" customWidth="1"/>
  </cols>
  <sheetData>
    <row r="1" spans="1:4" x14ac:dyDescent="0.2">
      <c r="A1" s="8" t="s">
        <v>0</v>
      </c>
    </row>
    <row r="2" spans="1:4" x14ac:dyDescent="0.2">
      <c r="A2" s="10"/>
      <c r="B2" s="9" t="s">
        <v>1</v>
      </c>
      <c r="C2" s="9" t="s">
        <v>2</v>
      </c>
      <c r="D2" s="9" t="s">
        <v>7</v>
      </c>
    </row>
    <row r="3" spans="1:4" x14ac:dyDescent="0.2">
      <c r="A3" s="10">
        <v>43101</v>
      </c>
    </row>
    <row r="4" spans="1:4" x14ac:dyDescent="0.2">
      <c r="A4" s="8" t="s">
        <v>4</v>
      </c>
      <c r="B4" s="9">
        <v>29.1</v>
      </c>
      <c r="C4" s="9">
        <f>B4</f>
        <v>29.1</v>
      </c>
    </row>
    <row r="5" spans="1:4" x14ac:dyDescent="0.2">
      <c r="A5" s="8" t="s">
        <v>263</v>
      </c>
      <c r="B5" s="9">
        <v>23.4</v>
      </c>
      <c r="C5" s="9">
        <f>B5</f>
        <v>23.4</v>
      </c>
    </row>
    <row r="7" spans="1:4" x14ac:dyDescent="0.2">
      <c r="D7" s="9">
        <f>SUM(B3:C6)</f>
        <v>105</v>
      </c>
    </row>
    <row r="10" spans="1:4" x14ac:dyDescent="0.2">
      <c r="A10" s="10"/>
      <c r="B10" s="9" t="s">
        <v>9</v>
      </c>
      <c r="C10" s="9" t="s">
        <v>2</v>
      </c>
      <c r="D10" s="9" t="s">
        <v>7</v>
      </c>
    </row>
    <row r="11" spans="1:4" x14ac:dyDescent="0.2">
      <c r="A11" s="8">
        <v>43108</v>
      </c>
    </row>
    <row r="12" spans="1:4" x14ac:dyDescent="0.2">
      <c r="A12" s="8" t="s">
        <v>4</v>
      </c>
      <c r="B12" s="9">
        <v>29.1</v>
      </c>
      <c r="C12" s="9">
        <f>B12</f>
        <v>29.1</v>
      </c>
    </row>
    <row r="13" spans="1:4" x14ac:dyDescent="0.2">
      <c r="A13" s="8" t="s">
        <v>5</v>
      </c>
      <c r="B13" s="9">
        <v>23.4</v>
      </c>
      <c r="C13" s="9">
        <f>B13</f>
        <v>23.4</v>
      </c>
    </row>
    <row r="15" spans="1:4" x14ac:dyDescent="0.2">
      <c r="D15" s="9">
        <f>SUM(B11:C14)</f>
        <v>105</v>
      </c>
    </row>
    <row r="18" spans="1:4" x14ac:dyDescent="0.2">
      <c r="B18" s="9" t="s">
        <v>9</v>
      </c>
      <c r="C18" s="9" t="s">
        <v>2</v>
      </c>
      <c r="D18" s="9" t="s">
        <v>7</v>
      </c>
    </row>
    <row r="19" spans="1:4" x14ac:dyDescent="0.2">
      <c r="A19" s="8">
        <v>43115</v>
      </c>
    </row>
    <row r="20" spans="1:4" x14ac:dyDescent="0.2">
      <c r="A20" s="8" t="s">
        <v>4</v>
      </c>
      <c r="B20" s="9">
        <v>29.1</v>
      </c>
      <c r="C20" s="9">
        <f>B20</f>
        <v>29.1</v>
      </c>
    </row>
    <row r="21" spans="1:4" x14ac:dyDescent="0.2">
      <c r="A21" s="8" t="s">
        <v>5</v>
      </c>
      <c r="B21" s="9">
        <v>23.21</v>
      </c>
      <c r="C21" s="9">
        <f>B21</f>
        <v>23.21</v>
      </c>
    </row>
    <row r="23" spans="1:4" x14ac:dyDescent="0.2">
      <c r="D23" s="9">
        <f>SUM(B19:C22)</f>
        <v>104.62</v>
      </c>
    </row>
    <row r="25" spans="1:4" x14ac:dyDescent="0.2">
      <c r="A25" s="10"/>
      <c r="B25" s="9" t="s">
        <v>9</v>
      </c>
      <c r="C25" s="9" t="s">
        <v>2</v>
      </c>
      <c r="D25" s="9" t="s">
        <v>7</v>
      </c>
    </row>
    <row r="26" spans="1:4" x14ac:dyDescent="0.2">
      <c r="A26" s="8">
        <v>43122</v>
      </c>
    </row>
    <row r="27" spans="1:4" x14ac:dyDescent="0.2">
      <c r="A27" s="11" t="s">
        <v>4</v>
      </c>
      <c r="B27" s="9">
        <v>29.1</v>
      </c>
      <c r="C27" s="9">
        <f>B27</f>
        <v>29.1</v>
      </c>
    </row>
    <row r="28" spans="1:4" x14ac:dyDescent="0.2">
      <c r="A28" s="8" t="s">
        <v>5</v>
      </c>
      <c r="B28" s="9">
        <v>23.4</v>
      </c>
      <c r="C28" s="9">
        <f>B28</f>
        <v>23.4</v>
      </c>
    </row>
    <row r="30" spans="1:4" x14ac:dyDescent="0.2">
      <c r="D30" s="9">
        <f>B27+C27+B28+C28</f>
        <v>105</v>
      </c>
    </row>
    <row r="31" spans="1:4" x14ac:dyDescent="0.2">
      <c r="A31" s="10"/>
      <c r="B31" s="9" t="s">
        <v>9</v>
      </c>
      <c r="C31" s="9" t="s">
        <v>2</v>
      </c>
      <c r="D31" s="9" t="s">
        <v>7</v>
      </c>
    </row>
    <row r="32" spans="1:4" x14ac:dyDescent="0.2">
      <c r="A32" s="8">
        <v>43129</v>
      </c>
    </row>
    <row r="33" spans="1:4" x14ac:dyDescent="0.2">
      <c r="A33" s="8" t="s">
        <v>4</v>
      </c>
      <c r="B33" s="9">
        <v>29.1</v>
      </c>
      <c r="C33" s="9">
        <f>B33</f>
        <v>29.1</v>
      </c>
    </row>
    <row r="34" spans="1:4" x14ac:dyDescent="0.2">
      <c r="A34" s="8" t="s">
        <v>5</v>
      </c>
      <c r="B34" s="9">
        <v>23.4</v>
      </c>
      <c r="C34" s="9">
        <f>B34</f>
        <v>23.4</v>
      </c>
    </row>
    <row r="36" spans="1:4" x14ac:dyDescent="0.2">
      <c r="D36" s="9">
        <f>B33+C33+B34+C34</f>
        <v>105</v>
      </c>
    </row>
    <row r="38" spans="1:4" x14ac:dyDescent="0.2">
      <c r="A38" s="8" t="s">
        <v>186</v>
      </c>
      <c r="C38" s="9" t="s">
        <v>260</v>
      </c>
      <c r="D38" s="9">
        <f>D36+D30+D23+D15+D7</f>
        <v>524.62</v>
      </c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4CA2-775E-447E-9B19-07BD65A5B979}">
  <dimension ref="A1:D38"/>
  <sheetViews>
    <sheetView workbookViewId="0">
      <selection activeCell="B4" sqref="B4:B5"/>
    </sheetView>
  </sheetViews>
  <sheetFormatPr defaultRowHeight="12.75" x14ac:dyDescent="0.2"/>
  <cols>
    <col min="1" max="1" width="23.28515625" style="8" customWidth="1"/>
    <col min="2" max="2" width="21" style="9" customWidth="1"/>
    <col min="3" max="3" width="26.42578125" style="9" customWidth="1"/>
    <col min="4" max="4" width="21.140625" style="9" customWidth="1"/>
  </cols>
  <sheetData>
    <row r="1" spans="1:4" x14ac:dyDescent="0.2">
      <c r="A1" s="8" t="s">
        <v>0</v>
      </c>
    </row>
    <row r="2" spans="1:4" x14ac:dyDescent="0.2">
      <c r="A2" s="10"/>
      <c r="B2" s="9" t="s">
        <v>1</v>
      </c>
      <c r="C2" s="9" t="s">
        <v>2</v>
      </c>
      <c r="D2" s="9" t="s">
        <v>7</v>
      </c>
    </row>
    <row r="3" spans="1:4" x14ac:dyDescent="0.2">
      <c r="A3" s="10">
        <v>43136</v>
      </c>
    </row>
    <row r="4" spans="1:4" x14ac:dyDescent="0.2">
      <c r="A4" s="8" t="s">
        <v>4</v>
      </c>
      <c r="B4" s="9">
        <v>29.1</v>
      </c>
      <c r="C4" s="9">
        <f>B4</f>
        <v>29.1</v>
      </c>
    </row>
    <row r="5" spans="1:4" x14ac:dyDescent="0.2">
      <c r="A5" s="8" t="s">
        <v>263</v>
      </c>
      <c r="B5" s="9">
        <v>23.21</v>
      </c>
      <c r="C5" s="9">
        <f>B5</f>
        <v>23.21</v>
      </c>
    </row>
    <row r="7" spans="1:4" x14ac:dyDescent="0.2">
      <c r="D7" s="9">
        <f>SUM(B3:C6)</f>
        <v>104.62</v>
      </c>
    </row>
    <row r="10" spans="1:4" x14ac:dyDescent="0.2">
      <c r="A10" s="10"/>
      <c r="B10" s="9" t="s">
        <v>9</v>
      </c>
      <c r="C10" s="9" t="s">
        <v>2</v>
      </c>
      <c r="D10" s="9" t="s">
        <v>7</v>
      </c>
    </row>
    <row r="11" spans="1:4" x14ac:dyDescent="0.2">
      <c r="A11" s="8">
        <v>43143</v>
      </c>
    </row>
    <row r="12" spans="1:4" x14ac:dyDescent="0.2">
      <c r="A12" s="8" t="s">
        <v>4</v>
      </c>
      <c r="B12" s="9">
        <v>29.1</v>
      </c>
      <c r="C12" s="9">
        <f>B12</f>
        <v>29.1</v>
      </c>
    </row>
    <row r="13" spans="1:4" x14ac:dyDescent="0.2">
      <c r="A13" s="8" t="s">
        <v>5</v>
      </c>
      <c r="B13" s="9">
        <v>23.4</v>
      </c>
      <c r="C13" s="9">
        <f>B13</f>
        <v>23.4</v>
      </c>
    </row>
    <row r="15" spans="1:4" x14ac:dyDescent="0.2">
      <c r="D15" s="9">
        <f>SUM(B11:C14)</f>
        <v>105</v>
      </c>
    </row>
    <row r="18" spans="1:4" x14ac:dyDescent="0.2">
      <c r="B18" s="9" t="s">
        <v>9</v>
      </c>
      <c r="C18" s="9" t="s">
        <v>2</v>
      </c>
      <c r="D18" s="9" t="s">
        <v>7</v>
      </c>
    </row>
    <row r="19" spans="1:4" x14ac:dyDescent="0.2">
      <c r="A19" s="8">
        <v>43150</v>
      </c>
    </row>
    <row r="20" spans="1:4" x14ac:dyDescent="0.2">
      <c r="A20" s="8" t="s">
        <v>4</v>
      </c>
      <c r="B20" s="9">
        <v>29.1</v>
      </c>
      <c r="C20" s="9">
        <f>B20</f>
        <v>29.1</v>
      </c>
    </row>
    <row r="21" spans="1:4" x14ac:dyDescent="0.2">
      <c r="A21" s="8" t="s">
        <v>5</v>
      </c>
      <c r="B21" s="9">
        <v>23.11</v>
      </c>
      <c r="C21" s="9">
        <f>B21</f>
        <v>23.11</v>
      </c>
    </row>
    <row r="23" spans="1:4" x14ac:dyDescent="0.2">
      <c r="D23" s="9">
        <f>SUM(B19:C22)</f>
        <v>104.42</v>
      </c>
    </row>
    <row r="25" spans="1:4" x14ac:dyDescent="0.2">
      <c r="A25" s="10"/>
      <c r="B25" s="9" t="s">
        <v>9</v>
      </c>
      <c r="C25" s="9" t="s">
        <v>2</v>
      </c>
      <c r="D25" s="9" t="s">
        <v>7</v>
      </c>
    </row>
    <row r="26" spans="1:4" x14ac:dyDescent="0.2">
      <c r="A26" s="8">
        <v>43157</v>
      </c>
    </row>
    <row r="27" spans="1:4" x14ac:dyDescent="0.2">
      <c r="A27" s="11" t="s">
        <v>4</v>
      </c>
      <c r="B27" s="9">
        <v>29.1</v>
      </c>
      <c r="C27" s="9">
        <f>B27</f>
        <v>29.1</v>
      </c>
    </row>
    <row r="28" spans="1:4" x14ac:dyDescent="0.2">
      <c r="A28" s="8" t="s">
        <v>5</v>
      </c>
      <c r="B28" s="9">
        <v>23.4</v>
      </c>
      <c r="C28" s="9">
        <f>B28</f>
        <v>23.4</v>
      </c>
    </row>
    <row r="30" spans="1:4" x14ac:dyDescent="0.2">
      <c r="D30" s="9">
        <f>B27+C27+B28+C28</f>
        <v>105</v>
      </c>
    </row>
    <row r="31" spans="1:4" x14ac:dyDescent="0.2">
      <c r="A31" s="10"/>
      <c r="B31" s="9" t="s">
        <v>9</v>
      </c>
      <c r="C31" s="9" t="s">
        <v>2</v>
      </c>
      <c r="D31" s="9" t="s">
        <v>7</v>
      </c>
    </row>
    <row r="32" spans="1:4" x14ac:dyDescent="0.2">
      <c r="A32" s="8">
        <v>43129</v>
      </c>
    </row>
    <row r="33" spans="1:4" x14ac:dyDescent="0.2">
      <c r="A33" s="8" t="s">
        <v>4</v>
      </c>
      <c r="C33" s="9">
        <f>B33</f>
        <v>0</v>
      </c>
    </row>
    <row r="34" spans="1:4" x14ac:dyDescent="0.2">
      <c r="A34" s="8" t="s">
        <v>5</v>
      </c>
      <c r="C34" s="9">
        <f>B34</f>
        <v>0</v>
      </c>
    </row>
    <row r="36" spans="1:4" x14ac:dyDescent="0.2">
      <c r="D36" s="9">
        <f>B33+C33+B34+C34</f>
        <v>0</v>
      </c>
    </row>
    <row r="38" spans="1:4" x14ac:dyDescent="0.2">
      <c r="A38" s="8" t="s">
        <v>186</v>
      </c>
      <c r="C38" s="9" t="s">
        <v>260</v>
      </c>
      <c r="D38" s="9">
        <f>D36+D30+D23+D15+D7</f>
        <v>419.04</v>
      </c>
    </row>
  </sheetData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AF70-027B-445A-B623-A9014ED09E43}">
  <dimension ref="A1:D38"/>
  <sheetViews>
    <sheetView workbookViewId="0">
      <selection activeCell="A4" sqref="A4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x14ac:dyDescent="0.2">
      <c r="A1" s="8" t="s">
        <v>0</v>
      </c>
    </row>
    <row r="2" spans="1:4" x14ac:dyDescent="0.2">
      <c r="A2" s="10"/>
      <c r="B2" s="9" t="s">
        <v>1</v>
      </c>
      <c r="C2" s="9" t="s">
        <v>2</v>
      </c>
      <c r="D2" s="9" t="s">
        <v>7</v>
      </c>
    </row>
    <row r="3" spans="1:4" x14ac:dyDescent="0.2">
      <c r="A3" s="10" t="s">
        <v>264</v>
      </c>
    </row>
    <row r="4" spans="1:4" x14ac:dyDescent="0.2">
      <c r="A4" s="8" t="s">
        <v>4</v>
      </c>
      <c r="B4" s="9">
        <v>29.1</v>
      </c>
      <c r="C4" s="9">
        <f>B4</f>
        <v>29.1</v>
      </c>
    </row>
    <row r="5" spans="1:4" x14ac:dyDescent="0.2">
      <c r="A5" s="8" t="s">
        <v>263</v>
      </c>
      <c r="B5" s="9">
        <v>23.4</v>
      </c>
      <c r="C5" s="9">
        <f>B5</f>
        <v>23.4</v>
      </c>
    </row>
    <row r="7" spans="1:4" x14ac:dyDescent="0.2">
      <c r="D7" s="9">
        <f>SUM(B3:C6)</f>
        <v>105</v>
      </c>
    </row>
    <row r="10" spans="1:4" x14ac:dyDescent="0.2">
      <c r="A10" s="10"/>
      <c r="B10" s="9" t="s">
        <v>9</v>
      </c>
      <c r="C10" s="9" t="s">
        <v>2</v>
      </c>
      <c r="D10" s="9" t="s">
        <v>7</v>
      </c>
    </row>
    <row r="11" spans="1:4" x14ac:dyDescent="0.2">
      <c r="A11" s="8">
        <v>43171</v>
      </c>
    </row>
    <row r="12" spans="1:4" x14ac:dyDescent="0.2">
      <c r="A12" s="8" t="s">
        <v>4</v>
      </c>
      <c r="B12" s="9">
        <v>29.1</v>
      </c>
      <c r="C12" s="9">
        <f>B12</f>
        <v>29.1</v>
      </c>
    </row>
    <row r="13" spans="1:4" x14ac:dyDescent="0.2">
      <c r="A13" s="8" t="s">
        <v>5</v>
      </c>
      <c r="B13" s="9">
        <v>23.25</v>
      </c>
      <c r="C13" s="9">
        <f>B13</f>
        <v>23.25</v>
      </c>
    </row>
    <row r="15" spans="1:4" x14ac:dyDescent="0.2">
      <c r="D15" s="9">
        <f>SUM(B11:C14)</f>
        <v>104.7</v>
      </c>
    </row>
    <row r="18" spans="1:4" x14ac:dyDescent="0.2">
      <c r="B18" s="9" t="s">
        <v>9</v>
      </c>
      <c r="C18" s="9" t="s">
        <v>2</v>
      </c>
      <c r="D18" s="9" t="s">
        <v>7</v>
      </c>
    </row>
    <row r="19" spans="1:4" x14ac:dyDescent="0.2">
      <c r="A19" s="8">
        <v>43178</v>
      </c>
    </row>
    <row r="20" spans="1:4" x14ac:dyDescent="0.2">
      <c r="A20" s="8" t="s">
        <v>4</v>
      </c>
      <c r="B20" s="9">
        <v>29.1</v>
      </c>
      <c r="C20" s="9">
        <f>B20</f>
        <v>29.1</v>
      </c>
    </row>
    <row r="21" spans="1:4" x14ac:dyDescent="0.2">
      <c r="A21" s="8" t="s">
        <v>5</v>
      </c>
      <c r="B21" s="9">
        <v>23.4</v>
      </c>
      <c r="C21" s="9">
        <f>B21</f>
        <v>23.4</v>
      </c>
    </row>
    <row r="23" spans="1:4" x14ac:dyDescent="0.2">
      <c r="D23" s="9">
        <f>SUM(B19:C22)</f>
        <v>105</v>
      </c>
    </row>
    <row r="25" spans="1:4" x14ac:dyDescent="0.2">
      <c r="A25" s="10"/>
      <c r="B25" s="9" t="s">
        <v>9</v>
      </c>
      <c r="C25" s="9" t="s">
        <v>2</v>
      </c>
      <c r="D25" s="9" t="s">
        <v>7</v>
      </c>
    </row>
    <row r="26" spans="1:4" x14ac:dyDescent="0.2">
      <c r="A26" s="8">
        <v>43185</v>
      </c>
    </row>
    <row r="27" spans="1:4" x14ac:dyDescent="0.2">
      <c r="A27" s="11" t="s">
        <v>4</v>
      </c>
      <c r="B27" s="9">
        <v>29.1</v>
      </c>
      <c r="C27" s="9">
        <f>B27</f>
        <v>29.1</v>
      </c>
    </row>
    <row r="28" spans="1:4" x14ac:dyDescent="0.2">
      <c r="A28" s="8" t="s">
        <v>5</v>
      </c>
      <c r="B28" s="9">
        <v>22.96</v>
      </c>
      <c r="C28" s="9">
        <f>B28</f>
        <v>22.96</v>
      </c>
    </row>
    <row r="30" spans="1:4" x14ac:dyDescent="0.2">
      <c r="D30" s="9">
        <f>B27+C27+B28+C28</f>
        <v>104.12</v>
      </c>
    </row>
    <row r="31" spans="1:4" x14ac:dyDescent="0.2">
      <c r="A31" s="10"/>
      <c r="B31" s="9" t="s">
        <v>9</v>
      </c>
      <c r="C31" s="9" t="s">
        <v>2</v>
      </c>
      <c r="D31" s="9" t="s">
        <v>7</v>
      </c>
    </row>
    <row r="33" spans="1:4" x14ac:dyDescent="0.2">
      <c r="A33" s="8" t="s">
        <v>4</v>
      </c>
      <c r="C33" s="9">
        <f>B33</f>
        <v>0</v>
      </c>
    </row>
    <row r="34" spans="1:4" x14ac:dyDescent="0.2">
      <c r="A34" s="8" t="s">
        <v>5</v>
      </c>
      <c r="C34" s="9">
        <f>B34</f>
        <v>0</v>
      </c>
    </row>
    <row r="36" spans="1:4" x14ac:dyDescent="0.2">
      <c r="D36" s="9">
        <f>B33+C33+B34+C34</f>
        <v>0</v>
      </c>
    </row>
    <row r="38" spans="1:4" x14ac:dyDescent="0.2">
      <c r="A38" s="8" t="s">
        <v>186</v>
      </c>
      <c r="C38" s="9" t="s">
        <v>260</v>
      </c>
      <c r="D38" s="9">
        <f>D36+D30+D23+D15+D7</f>
        <v>418.82</v>
      </c>
    </row>
  </sheetData>
  <pageMargins left="0.7" right="0.7" top="0.75" bottom="0.75" header="0.3" footer="0.3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631D-FE9D-4F10-A8B0-8F3BD3C640FB}">
  <sheetPr>
    <pageSetUpPr fitToPage="1"/>
  </sheetPr>
  <dimension ref="A1:D39"/>
  <sheetViews>
    <sheetView topLeftCell="A4" workbookViewId="0">
      <selection activeCell="B36" sqref="B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43191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v>43192</v>
      </c>
    </row>
    <row r="5" spans="1:4" ht="15" x14ac:dyDescent="0.2">
      <c r="A5" s="12" t="s">
        <v>265</v>
      </c>
      <c r="B5" s="17">
        <v>29.1</v>
      </c>
      <c r="C5" s="18">
        <f>B5</f>
        <v>29.1</v>
      </c>
      <c r="D5" s="19"/>
    </row>
    <row r="6" spans="1:4" ht="15.75" thickBot="1" x14ac:dyDescent="0.25">
      <c r="A6" s="12" t="s">
        <v>266</v>
      </c>
      <c r="B6" s="20">
        <v>23.4</v>
      </c>
      <c r="C6" s="21">
        <f>B6</f>
        <v>23.4</v>
      </c>
      <c r="D6" s="22"/>
    </row>
    <row r="7" spans="1:4" ht="13.5" thickBot="1" x14ac:dyDescent="0.25"/>
    <row r="8" spans="1:4" ht="13.5" thickBot="1" x14ac:dyDescent="0.25">
      <c r="D8" s="15">
        <f>SUM(B4:C7)</f>
        <v>105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43199</v>
      </c>
    </row>
    <row r="13" spans="1:4" ht="15" x14ac:dyDescent="0.2">
      <c r="A13" s="12" t="s">
        <v>265</v>
      </c>
      <c r="B13" s="17">
        <v>29.1</v>
      </c>
      <c r="C13" s="18">
        <f>B13</f>
        <v>29.1</v>
      </c>
      <c r="D13" s="19"/>
    </row>
    <row r="14" spans="1:4" ht="15.75" thickBot="1" x14ac:dyDescent="0.25">
      <c r="A14" s="12" t="s">
        <v>266</v>
      </c>
      <c r="B14" s="20">
        <v>23.4</v>
      </c>
      <c r="C14" s="21">
        <f>B14</f>
        <v>23.4</v>
      </c>
      <c r="D14" s="22"/>
    </row>
    <row r="15" spans="1:4" ht="13.5" thickBot="1" x14ac:dyDescent="0.25"/>
    <row r="16" spans="1:4" ht="13.5" thickBot="1" x14ac:dyDescent="0.25">
      <c r="D16" s="15">
        <f>SUM(B12:C15)</f>
        <v>105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43206</v>
      </c>
    </row>
    <row r="21" spans="1:4" ht="15" x14ac:dyDescent="0.2">
      <c r="A21" s="12" t="s">
        <v>265</v>
      </c>
      <c r="B21" s="17">
        <v>29.1</v>
      </c>
      <c r="C21" s="18">
        <f>B21</f>
        <v>29.1</v>
      </c>
      <c r="D21" s="19"/>
    </row>
    <row r="22" spans="1:4" ht="15.75" thickBot="1" x14ac:dyDescent="0.25">
      <c r="A22" s="12" t="s">
        <v>266</v>
      </c>
      <c r="B22" s="20">
        <v>22.82</v>
      </c>
      <c r="C22" s="21">
        <f>B22</f>
        <v>22.82</v>
      </c>
      <c r="D22" s="22"/>
    </row>
    <row r="23" spans="1:4" ht="13.5" thickBot="1" x14ac:dyDescent="0.25"/>
    <row r="24" spans="1:4" ht="13.5" thickBot="1" x14ac:dyDescent="0.25">
      <c r="D24" s="15">
        <f>SUM(B20:C23)</f>
        <v>103.84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43213</v>
      </c>
    </row>
    <row r="28" spans="1:4" ht="15" x14ac:dyDescent="0.2">
      <c r="A28" s="12" t="s">
        <v>265</v>
      </c>
      <c r="B28" s="17">
        <v>29.1</v>
      </c>
      <c r="C28" s="18">
        <f>B28</f>
        <v>29.1</v>
      </c>
      <c r="D28" s="19"/>
    </row>
    <row r="29" spans="1:4" ht="15" x14ac:dyDescent="0.2">
      <c r="A29" s="12" t="s">
        <v>266</v>
      </c>
      <c r="B29" s="23">
        <v>23.4</v>
      </c>
      <c r="C29" s="16">
        <f>B29</f>
        <v>23.4</v>
      </c>
      <c r="D29" s="24"/>
    </row>
    <row r="30" spans="1:4" ht="13.5" thickBot="1" x14ac:dyDescent="0.25">
      <c r="B30" s="20"/>
      <c r="C30" s="21"/>
      <c r="D30" s="22"/>
    </row>
    <row r="31" spans="1:4" x14ac:dyDescent="0.2">
      <c r="D31" s="9">
        <f>B28+C28+B29+C29</f>
        <v>105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v>43220</v>
      </c>
    </row>
    <row r="34" spans="1:4" ht="15" x14ac:dyDescent="0.2">
      <c r="A34" s="12" t="s">
        <v>265</v>
      </c>
      <c r="B34" s="17">
        <v>29.1</v>
      </c>
      <c r="C34" s="18">
        <f>B34</f>
        <v>29.1</v>
      </c>
      <c r="D34" s="19"/>
    </row>
    <row r="35" spans="1:4" ht="15.75" thickBot="1" x14ac:dyDescent="0.25">
      <c r="A35" s="12" t="s">
        <v>266</v>
      </c>
      <c r="B35" s="20">
        <v>23.4</v>
      </c>
      <c r="C35" s="21">
        <f>B35</f>
        <v>23.4</v>
      </c>
      <c r="D35" s="22"/>
    </row>
    <row r="36" spans="1:4" ht="13.5" thickBot="1" x14ac:dyDescent="0.25"/>
    <row r="37" spans="1:4" ht="13.5" thickBot="1" x14ac:dyDescent="0.25">
      <c r="D37" s="15">
        <f>B34+C34+B35+C35</f>
        <v>105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523.84</v>
      </c>
    </row>
  </sheetData>
  <pageMargins left="0.7" right="0.7" top="0.75" bottom="0.75" header="0.3" footer="0.3"/>
  <pageSetup scale="96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1307-93FB-47D0-BCF5-0E9CF1FAB31C}">
  <dimension ref="A1:D39"/>
  <sheetViews>
    <sheetView topLeftCell="A16" workbookViewId="0">
      <selection activeCell="D32" sqref="D32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43191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v>43227</v>
      </c>
    </row>
    <row r="5" spans="1:4" ht="15" x14ac:dyDescent="0.2">
      <c r="A5" s="12" t="s">
        <v>266</v>
      </c>
      <c r="B5" s="17">
        <v>23.4</v>
      </c>
      <c r="C5" s="18">
        <f>B5</f>
        <v>23.4</v>
      </c>
      <c r="D5" s="19"/>
    </row>
    <row r="6" spans="1:4" ht="15.75" thickBot="1" x14ac:dyDescent="0.25">
      <c r="A6" s="12" t="s">
        <v>265</v>
      </c>
      <c r="B6" s="20">
        <v>29.1</v>
      </c>
      <c r="C6" s="21">
        <f>B6</f>
        <v>29.1</v>
      </c>
      <c r="D6" s="22"/>
    </row>
    <row r="7" spans="1:4" ht="13.5" thickBot="1" x14ac:dyDescent="0.25"/>
    <row r="8" spans="1:4" ht="13.5" thickBot="1" x14ac:dyDescent="0.25">
      <c r="D8" s="15">
        <f>SUM(B4:C7)</f>
        <v>105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43234</v>
      </c>
    </row>
    <row r="13" spans="1:4" ht="15" x14ac:dyDescent="0.2">
      <c r="A13" s="12" t="s">
        <v>266</v>
      </c>
      <c r="B13" s="17">
        <v>23.4</v>
      </c>
      <c r="C13" s="18">
        <f>B13</f>
        <v>23.4</v>
      </c>
      <c r="D13" s="19"/>
    </row>
    <row r="14" spans="1:4" ht="15.75" thickBot="1" x14ac:dyDescent="0.25">
      <c r="A14" s="12" t="s">
        <v>265</v>
      </c>
      <c r="B14" s="20">
        <v>29.1</v>
      </c>
      <c r="C14" s="21">
        <f>B14</f>
        <v>29.1</v>
      </c>
      <c r="D14" s="22"/>
    </row>
    <row r="15" spans="1:4" ht="13.5" thickBot="1" x14ac:dyDescent="0.25"/>
    <row r="16" spans="1:4" ht="13.5" thickBot="1" x14ac:dyDescent="0.25">
      <c r="D16" s="15">
        <f>SUM(B12:C15)</f>
        <v>105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43241</v>
      </c>
    </row>
    <row r="21" spans="1:4" ht="15" x14ac:dyDescent="0.2">
      <c r="A21" s="12" t="s">
        <v>266</v>
      </c>
      <c r="B21" s="17">
        <v>23.4</v>
      </c>
      <c r="C21" s="18">
        <f>B21</f>
        <v>23.4</v>
      </c>
      <c r="D21" s="19"/>
    </row>
    <row r="22" spans="1:4" ht="15.75" thickBot="1" x14ac:dyDescent="0.25">
      <c r="A22" s="12" t="s">
        <v>265</v>
      </c>
      <c r="B22" s="20">
        <v>29.1</v>
      </c>
      <c r="C22" s="21">
        <f>B22</f>
        <v>29.1</v>
      </c>
      <c r="D22" s="22"/>
    </row>
    <row r="23" spans="1:4" ht="13.5" thickBot="1" x14ac:dyDescent="0.25"/>
    <row r="24" spans="1:4" ht="13.5" thickBot="1" x14ac:dyDescent="0.25">
      <c r="D24" s="15">
        <f>SUM(B20:C23)</f>
        <v>105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43248</v>
      </c>
    </row>
    <row r="28" spans="1:4" ht="15" x14ac:dyDescent="0.2">
      <c r="A28" s="12" t="s">
        <v>266</v>
      </c>
      <c r="B28" s="17">
        <v>23.4</v>
      </c>
      <c r="C28" s="18">
        <f>B28</f>
        <v>23.4</v>
      </c>
      <c r="D28" s="19"/>
    </row>
    <row r="29" spans="1:4" ht="15.75" thickBot="1" x14ac:dyDescent="0.25">
      <c r="A29" s="12" t="s">
        <v>265</v>
      </c>
      <c r="B29" s="20">
        <v>29.1</v>
      </c>
      <c r="C29" s="21">
        <f>B29</f>
        <v>29.1</v>
      </c>
      <c r="D29" s="22"/>
    </row>
    <row r="30" spans="1:4" ht="13.5" thickBot="1" x14ac:dyDescent="0.25"/>
    <row r="31" spans="1:4" ht="13.5" thickBot="1" x14ac:dyDescent="0.25">
      <c r="D31" s="15">
        <f>SUM(B27:C30)</f>
        <v>105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/>
    </row>
    <row r="34" spans="1:4" ht="15" x14ac:dyDescent="0.2">
      <c r="A34" s="12" t="s">
        <v>266</v>
      </c>
      <c r="B34" s="17"/>
      <c r="C34" s="18">
        <f>B34</f>
        <v>0</v>
      </c>
      <c r="D34" s="19"/>
    </row>
    <row r="35" spans="1:4" ht="15.75" thickBot="1" x14ac:dyDescent="0.25">
      <c r="A35" s="12" t="s">
        <v>265</v>
      </c>
      <c r="B35" s="20"/>
      <c r="C35" s="21">
        <f>B35</f>
        <v>0</v>
      </c>
      <c r="D35" s="22"/>
    </row>
    <row r="36" spans="1:4" ht="13.5" thickBot="1" x14ac:dyDescent="0.25"/>
    <row r="37" spans="1:4" ht="13.5" thickBot="1" x14ac:dyDescent="0.25">
      <c r="D37" s="15">
        <f>B34+C34+B35+C35</f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420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9C90-9EA2-452A-AE87-DBE6CB4E3AE1}">
  <sheetPr>
    <pageSetUpPr fitToPage="1"/>
  </sheetPr>
  <dimension ref="A1:D39"/>
  <sheetViews>
    <sheetView workbookViewId="0">
      <selection activeCell="B35" sqref="B35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43252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v>43255</v>
      </c>
    </row>
    <row r="5" spans="1:4" ht="15" x14ac:dyDescent="0.2">
      <c r="A5" s="12" t="s">
        <v>266</v>
      </c>
      <c r="B5" s="17">
        <v>23.4</v>
      </c>
      <c r="C5" s="18">
        <f>B5</f>
        <v>23.4</v>
      </c>
      <c r="D5" s="19"/>
    </row>
    <row r="6" spans="1:4" ht="15.75" thickBot="1" x14ac:dyDescent="0.25">
      <c r="A6" s="12" t="s">
        <v>265</v>
      </c>
      <c r="B6" s="20">
        <v>29.1</v>
      </c>
      <c r="C6" s="21">
        <f>B6</f>
        <v>29.1</v>
      </c>
      <c r="D6" s="22"/>
    </row>
    <row r="7" spans="1:4" ht="13.5" thickBot="1" x14ac:dyDescent="0.25"/>
    <row r="8" spans="1:4" ht="13.5" thickBot="1" x14ac:dyDescent="0.25">
      <c r="D8" s="15">
        <f>SUM(B4:C7)</f>
        <v>105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43262</v>
      </c>
    </row>
    <row r="13" spans="1:4" ht="15" x14ac:dyDescent="0.2">
      <c r="A13" s="12" t="s">
        <v>266</v>
      </c>
      <c r="B13" s="17">
        <v>23.4</v>
      </c>
      <c r="C13" s="18">
        <f>B13</f>
        <v>23.4</v>
      </c>
      <c r="D13" s="19"/>
    </row>
    <row r="14" spans="1:4" ht="15.75" thickBot="1" x14ac:dyDescent="0.25">
      <c r="A14" s="12" t="s">
        <v>265</v>
      </c>
      <c r="B14" s="20">
        <v>29.1</v>
      </c>
      <c r="C14" s="21">
        <f>B14</f>
        <v>29.1</v>
      </c>
      <c r="D14" s="22"/>
    </row>
    <row r="15" spans="1:4" ht="13.5" thickBot="1" x14ac:dyDescent="0.25"/>
    <row r="16" spans="1:4" ht="13.5" thickBot="1" x14ac:dyDescent="0.25">
      <c r="D16" s="15">
        <f>SUM(B12:C15)</f>
        <v>105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43269</v>
      </c>
    </row>
    <row r="21" spans="1:4" ht="15" x14ac:dyDescent="0.2">
      <c r="A21" s="12" t="s">
        <v>266</v>
      </c>
      <c r="B21" s="17">
        <v>23.4</v>
      </c>
      <c r="C21" s="18">
        <f>B21</f>
        <v>23.4</v>
      </c>
      <c r="D21" s="19"/>
    </row>
    <row r="22" spans="1:4" ht="15.75" thickBot="1" x14ac:dyDescent="0.25">
      <c r="A22" s="12" t="s">
        <v>265</v>
      </c>
      <c r="B22" s="20">
        <v>29.1</v>
      </c>
      <c r="C22" s="21">
        <f>B22</f>
        <v>29.1</v>
      </c>
      <c r="D22" s="22"/>
    </row>
    <row r="23" spans="1:4" ht="13.5" thickBot="1" x14ac:dyDescent="0.25"/>
    <row r="24" spans="1:4" ht="13.5" thickBot="1" x14ac:dyDescent="0.25">
      <c r="D24" s="15">
        <f>SUM(B20:C23)</f>
        <v>105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43276</v>
      </c>
    </row>
    <row r="28" spans="1:4" ht="15" x14ac:dyDescent="0.2">
      <c r="A28" s="12" t="s">
        <v>266</v>
      </c>
      <c r="B28" s="17"/>
      <c r="C28" s="18">
        <f>B28</f>
        <v>0</v>
      </c>
      <c r="D28" s="19"/>
    </row>
    <row r="29" spans="1:4" ht="15.75" thickBot="1" x14ac:dyDescent="0.25">
      <c r="A29" s="12" t="s">
        <v>265</v>
      </c>
      <c r="B29" s="20"/>
      <c r="C29" s="21">
        <f>B29</f>
        <v>0</v>
      </c>
      <c r="D29" s="22"/>
    </row>
    <row r="30" spans="1:4" ht="13.5" thickBot="1" x14ac:dyDescent="0.25"/>
    <row r="31" spans="1:4" ht="13.5" thickBot="1" x14ac:dyDescent="0.25">
      <c r="D31" s="15">
        <f>SUM(B27:C30)</f>
        <v>0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/>
    </row>
    <row r="34" spans="1:4" ht="15" x14ac:dyDescent="0.2">
      <c r="A34" s="12" t="s">
        <v>266</v>
      </c>
      <c r="B34" s="17">
        <v>23.4</v>
      </c>
      <c r="C34" s="18">
        <f>B34</f>
        <v>23.4</v>
      </c>
      <c r="D34" s="19"/>
    </row>
    <row r="35" spans="1:4" ht="15.75" thickBot="1" x14ac:dyDescent="0.25">
      <c r="A35" s="12" t="s">
        <v>265</v>
      </c>
      <c r="B35" s="20">
        <f>12.58+16.52</f>
        <v>29.1</v>
      </c>
      <c r="C35" s="21">
        <f>B35</f>
        <v>29.1</v>
      </c>
      <c r="D35" s="22"/>
    </row>
    <row r="36" spans="1:4" ht="13.5" thickBot="1" x14ac:dyDescent="0.25"/>
    <row r="37" spans="1:4" ht="13.5" thickBot="1" x14ac:dyDescent="0.25">
      <c r="D37" s="15">
        <f>SUM(B33:C36)</f>
        <v>105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420</v>
      </c>
    </row>
  </sheetData>
  <pageMargins left="0.7" right="0.7" top="0.75" bottom="0.75" header="0.3" footer="0.3"/>
  <pageSetup scale="96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5E3A-6CEB-415C-A217-3139CE1C29DD}">
  <sheetPr>
    <pageSetUpPr fitToPage="1"/>
  </sheetPr>
  <dimension ref="A1:D39"/>
  <sheetViews>
    <sheetView workbookViewId="0">
      <selection activeCell="B36" sqref="B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43282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43283</v>
      </c>
    </row>
    <row r="5" spans="1:4" ht="15" x14ac:dyDescent="0.2">
      <c r="A5" s="12" t="s">
        <v>266</v>
      </c>
      <c r="B5" s="17">
        <v>23.4</v>
      </c>
      <c r="C5" s="18">
        <f>B5</f>
        <v>23.4</v>
      </c>
      <c r="D5" s="19"/>
    </row>
    <row r="6" spans="1:4" ht="15.75" thickBot="1" x14ac:dyDescent="0.25">
      <c r="A6" s="12" t="s">
        <v>265</v>
      </c>
      <c r="B6" s="20">
        <v>29.1</v>
      </c>
      <c r="C6" s="21">
        <f>B6</f>
        <v>29.1</v>
      </c>
      <c r="D6" s="22"/>
    </row>
    <row r="7" spans="1:4" ht="13.5" thickBot="1" x14ac:dyDescent="0.25"/>
    <row r="8" spans="1:4" ht="13.5" thickBot="1" x14ac:dyDescent="0.25">
      <c r="D8" s="15">
        <f>SUM(B4:C7)</f>
        <v>105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43290</v>
      </c>
    </row>
    <row r="13" spans="1:4" ht="15" x14ac:dyDescent="0.2">
      <c r="A13" s="12" t="s">
        <v>266</v>
      </c>
      <c r="B13" s="17">
        <v>23.4</v>
      </c>
      <c r="C13" s="18">
        <f>B13</f>
        <v>23.4</v>
      </c>
      <c r="D13" s="19"/>
    </row>
    <row r="14" spans="1:4" ht="15.75" thickBot="1" x14ac:dyDescent="0.25">
      <c r="A14" s="12" t="s">
        <v>265</v>
      </c>
      <c r="B14" s="20">
        <v>29.1</v>
      </c>
      <c r="C14" s="21">
        <f>B14</f>
        <v>29.1</v>
      </c>
      <c r="D14" s="22"/>
    </row>
    <row r="15" spans="1:4" ht="13.5" thickBot="1" x14ac:dyDescent="0.25"/>
    <row r="16" spans="1:4" ht="13.5" thickBot="1" x14ac:dyDescent="0.25">
      <c r="D16" s="15">
        <f>SUM(B12:C15)</f>
        <v>105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43297</v>
      </c>
    </row>
    <row r="21" spans="1:4" ht="15" x14ac:dyDescent="0.2">
      <c r="A21" s="12" t="s">
        <v>266</v>
      </c>
      <c r="B21" s="17">
        <v>23.4</v>
      </c>
      <c r="C21" s="18">
        <f>B21</f>
        <v>23.4</v>
      </c>
      <c r="D21" s="19"/>
    </row>
    <row r="22" spans="1:4" ht="15.75" thickBot="1" x14ac:dyDescent="0.25">
      <c r="A22" s="12" t="s">
        <v>265</v>
      </c>
      <c r="B22" s="20">
        <v>29.1</v>
      </c>
      <c r="C22" s="21">
        <f>B22</f>
        <v>29.1</v>
      </c>
      <c r="D22" s="22"/>
    </row>
    <row r="23" spans="1:4" ht="13.5" thickBot="1" x14ac:dyDescent="0.25"/>
    <row r="24" spans="1:4" ht="13.5" thickBot="1" x14ac:dyDescent="0.25">
      <c r="D24" s="15">
        <f>SUM(B20:C23)</f>
        <v>105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43304</v>
      </c>
    </row>
    <row r="28" spans="1:4" ht="15" x14ac:dyDescent="0.2">
      <c r="A28" s="12" t="s">
        <v>266</v>
      </c>
      <c r="B28" s="17">
        <v>23.4</v>
      </c>
      <c r="C28" s="18">
        <f>B28</f>
        <v>23.4</v>
      </c>
      <c r="D28" s="19"/>
    </row>
    <row r="29" spans="1:4" ht="15.75" thickBot="1" x14ac:dyDescent="0.25">
      <c r="A29" s="12" t="s">
        <v>265</v>
      </c>
      <c r="B29" s="20">
        <v>29.1</v>
      </c>
      <c r="C29" s="21">
        <f>B29</f>
        <v>29.1</v>
      </c>
      <c r="D29" s="22"/>
    </row>
    <row r="30" spans="1:4" ht="13.5" thickBot="1" x14ac:dyDescent="0.25"/>
    <row r="31" spans="1:4" ht="13.5" thickBot="1" x14ac:dyDescent="0.25">
      <c r="D31" s="15">
        <f>SUM(B27:C30)</f>
        <v>105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f>A27+7</f>
        <v>43311</v>
      </c>
    </row>
    <row r="34" spans="1:4" ht="15" x14ac:dyDescent="0.2">
      <c r="A34" s="12" t="s">
        <v>266</v>
      </c>
      <c r="B34" s="17">
        <v>23.4</v>
      </c>
      <c r="C34" s="18">
        <f>B34</f>
        <v>23.4</v>
      </c>
      <c r="D34" s="19"/>
    </row>
    <row r="35" spans="1:4" ht="15.75" thickBot="1" x14ac:dyDescent="0.25">
      <c r="A35" s="12" t="s">
        <v>265</v>
      </c>
      <c r="B35" s="20">
        <v>29.1</v>
      </c>
      <c r="C35" s="21">
        <f>B35</f>
        <v>29.1</v>
      </c>
      <c r="D35" s="22"/>
    </row>
    <row r="36" spans="1:4" ht="13.5" thickBot="1" x14ac:dyDescent="0.25"/>
    <row r="37" spans="1:4" ht="13.5" thickBot="1" x14ac:dyDescent="0.25">
      <c r="D37" s="15">
        <f>SUM(B33:C36)</f>
        <v>105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525</v>
      </c>
    </row>
  </sheetData>
  <pageMargins left="0.7" right="0.7" top="0.75" bottom="0.75" header="0.3" footer="0.3"/>
  <pageSetup scale="96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839E-2ED4-44F9-93FD-EC8E0F8089F9}">
  <dimension ref="A1:D39"/>
  <sheetViews>
    <sheetView topLeftCell="A7" workbookViewId="0">
      <selection activeCell="B36" sqref="B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43313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43318</v>
      </c>
    </row>
    <row r="5" spans="1:4" ht="15" x14ac:dyDescent="0.2">
      <c r="A5" s="12" t="s">
        <v>266</v>
      </c>
      <c r="B5" s="17">
        <v>24.3</v>
      </c>
      <c r="C5" s="18">
        <f>B5</f>
        <v>24.3</v>
      </c>
      <c r="D5" s="19"/>
    </row>
    <row r="6" spans="1:4" ht="15.75" thickBot="1" x14ac:dyDescent="0.25">
      <c r="A6" s="12" t="s">
        <v>265</v>
      </c>
      <c r="B6" s="20">
        <v>30</v>
      </c>
      <c r="C6" s="21">
        <f>B6</f>
        <v>30</v>
      </c>
      <c r="D6" s="22"/>
    </row>
    <row r="7" spans="1:4" ht="13.5" thickBot="1" x14ac:dyDescent="0.25"/>
    <row r="8" spans="1:4" ht="13.5" thickBot="1" x14ac:dyDescent="0.25">
      <c r="D8" s="15">
        <f>SUM(B4:C7)</f>
        <v>108.6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43325</v>
      </c>
    </row>
    <row r="13" spans="1:4" ht="15" x14ac:dyDescent="0.2">
      <c r="A13" s="12" t="s">
        <v>266</v>
      </c>
      <c r="B13" s="17">
        <v>24.3</v>
      </c>
      <c r="C13" s="18">
        <f>B13</f>
        <v>24.3</v>
      </c>
      <c r="D13" s="19"/>
    </row>
    <row r="14" spans="1:4" ht="15.75" thickBot="1" x14ac:dyDescent="0.25">
      <c r="A14" s="12" t="s">
        <v>265</v>
      </c>
      <c r="B14" s="20">
        <v>30</v>
      </c>
      <c r="C14" s="21">
        <f>B14</f>
        <v>30</v>
      </c>
      <c r="D14" s="22"/>
    </row>
    <row r="15" spans="1:4" ht="13.5" thickBot="1" x14ac:dyDescent="0.25"/>
    <row r="16" spans="1:4" ht="13.5" thickBot="1" x14ac:dyDescent="0.25">
      <c r="D16" s="15">
        <f>SUM(B12:C15)</f>
        <v>108.6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43332</v>
      </c>
    </row>
    <row r="21" spans="1:4" ht="15" x14ac:dyDescent="0.2">
      <c r="A21" s="12" t="s">
        <v>266</v>
      </c>
      <c r="B21" s="17">
        <v>24.3</v>
      </c>
      <c r="C21" s="18">
        <f>B21</f>
        <v>24.3</v>
      </c>
      <c r="D21" s="19"/>
    </row>
    <row r="22" spans="1:4" ht="15.75" thickBot="1" x14ac:dyDescent="0.25">
      <c r="A22" s="12" t="s">
        <v>265</v>
      </c>
      <c r="B22" s="20">
        <v>30</v>
      </c>
      <c r="C22" s="21">
        <f>B22</f>
        <v>30</v>
      </c>
      <c r="D22" s="22"/>
    </row>
    <row r="23" spans="1:4" ht="13.5" thickBot="1" x14ac:dyDescent="0.25"/>
    <row r="24" spans="1:4" ht="13.5" thickBot="1" x14ac:dyDescent="0.25">
      <c r="D24" s="15">
        <f>SUM(B20:C23)</f>
        <v>108.6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43339</v>
      </c>
    </row>
    <row r="28" spans="1:4" ht="15" x14ac:dyDescent="0.2">
      <c r="A28" s="12" t="s">
        <v>266</v>
      </c>
      <c r="B28" s="17">
        <v>24.3</v>
      </c>
      <c r="C28" s="18">
        <f>B28</f>
        <v>24.3</v>
      </c>
      <c r="D28" s="19"/>
    </row>
    <row r="29" spans="1:4" ht="15.75" thickBot="1" x14ac:dyDescent="0.25">
      <c r="A29" s="12" t="s">
        <v>265</v>
      </c>
      <c r="B29" s="20">
        <v>30</v>
      </c>
      <c r="C29" s="21">
        <f>B29</f>
        <v>30</v>
      </c>
      <c r="D29" s="22"/>
    </row>
    <row r="30" spans="1:4" ht="13.5" thickBot="1" x14ac:dyDescent="0.25"/>
    <row r="31" spans="1:4" ht="13.5" thickBot="1" x14ac:dyDescent="0.25">
      <c r="D31" s="15">
        <f>SUM(B27:C30)</f>
        <v>108.6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v>43343</v>
      </c>
    </row>
    <row r="34" spans="1:4" ht="15" x14ac:dyDescent="0.2">
      <c r="A34" s="12" t="s">
        <v>266</v>
      </c>
      <c r="B34" s="17">
        <v>24.3</v>
      </c>
      <c r="C34" s="18">
        <f>B34</f>
        <v>24.3</v>
      </c>
      <c r="D34" s="19"/>
    </row>
    <row r="35" spans="1:4" ht="15.75" thickBot="1" x14ac:dyDescent="0.25">
      <c r="A35" s="12" t="s">
        <v>265</v>
      </c>
      <c r="B35" s="20">
        <v>30</v>
      </c>
      <c r="C35" s="21">
        <f>B35</f>
        <v>30</v>
      </c>
      <c r="D35" s="22"/>
    </row>
    <row r="36" spans="1:4" ht="13.5" thickBot="1" x14ac:dyDescent="0.25"/>
    <row r="37" spans="1:4" ht="13.5" thickBot="1" x14ac:dyDescent="0.25">
      <c r="D37" s="15">
        <f>SUM(B33:C36)</f>
        <v>108.6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543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DA5A-21B0-4AB3-AFE1-8324CB1C7583}">
  <sheetPr>
    <pageSetUpPr fitToPage="1"/>
  </sheetPr>
  <dimension ref="A1:D39"/>
  <sheetViews>
    <sheetView topLeftCell="A19" workbookViewId="0">
      <selection activeCell="A33" sqref="A3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43344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43346</v>
      </c>
    </row>
    <row r="5" spans="1:4" ht="15" x14ac:dyDescent="0.2">
      <c r="A5" s="12" t="s">
        <v>266</v>
      </c>
      <c r="B5" s="17">
        <v>24.3</v>
      </c>
      <c r="C5" s="18">
        <f>B5</f>
        <v>24.3</v>
      </c>
      <c r="D5" s="19"/>
    </row>
    <row r="6" spans="1:4" ht="15.75" thickBot="1" x14ac:dyDescent="0.25">
      <c r="A6" s="12" t="s">
        <v>265</v>
      </c>
      <c r="B6" s="20">
        <v>30</v>
      </c>
      <c r="C6" s="21">
        <f>B6</f>
        <v>30</v>
      </c>
      <c r="D6" s="22"/>
    </row>
    <row r="7" spans="1:4" ht="13.5" thickBot="1" x14ac:dyDescent="0.25"/>
    <row r="8" spans="1:4" ht="13.5" thickBot="1" x14ac:dyDescent="0.25">
      <c r="D8" s="15">
        <f>SUM(B4:C7)</f>
        <v>108.6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43353</v>
      </c>
    </row>
    <row r="13" spans="1:4" ht="15" x14ac:dyDescent="0.2">
      <c r="A13" s="12" t="s">
        <v>266</v>
      </c>
      <c r="B13" s="17">
        <v>24.3</v>
      </c>
      <c r="C13" s="18">
        <f>B13</f>
        <v>24.3</v>
      </c>
      <c r="D13" s="19"/>
    </row>
    <row r="14" spans="1:4" ht="15.75" thickBot="1" x14ac:dyDescent="0.25">
      <c r="A14" s="12" t="s">
        <v>265</v>
      </c>
      <c r="B14" s="20">
        <v>30</v>
      </c>
      <c r="C14" s="21">
        <f>B14</f>
        <v>30</v>
      </c>
      <c r="D14" s="22"/>
    </row>
    <row r="15" spans="1:4" ht="13.5" thickBot="1" x14ac:dyDescent="0.25"/>
    <row r="16" spans="1:4" ht="13.5" thickBot="1" x14ac:dyDescent="0.25">
      <c r="D16" s="15">
        <f>SUM(B12:C15)</f>
        <v>108.6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43360</v>
      </c>
    </row>
    <row r="21" spans="1:4" ht="15" x14ac:dyDescent="0.2">
      <c r="A21" s="12" t="s">
        <v>266</v>
      </c>
      <c r="B21" s="17">
        <v>24</v>
      </c>
      <c r="C21" s="18">
        <f>B21</f>
        <v>24</v>
      </c>
      <c r="D21" s="19"/>
    </row>
    <row r="22" spans="1:4" ht="15.75" thickBot="1" x14ac:dyDescent="0.25">
      <c r="A22" s="12" t="s">
        <v>265</v>
      </c>
      <c r="B22" s="20">
        <v>30</v>
      </c>
      <c r="C22" s="21">
        <f>B22</f>
        <v>30</v>
      </c>
      <c r="D22" s="22"/>
    </row>
    <row r="23" spans="1:4" ht="13.5" thickBot="1" x14ac:dyDescent="0.25"/>
    <row r="24" spans="1:4" ht="13.5" thickBot="1" x14ac:dyDescent="0.25">
      <c r="D24" s="15">
        <f>SUM(B20:C23)</f>
        <v>108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43367</v>
      </c>
    </row>
    <row r="28" spans="1:4" ht="15" x14ac:dyDescent="0.2">
      <c r="A28" s="12" t="s">
        <v>266</v>
      </c>
      <c r="B28" s="17">
        <v>24.3</v>
      </c>
      <c r="C28" s="18">
        <f>B28</f>
        <v>24.3</v>
      </c>
      <c r="D28" s="19"/>
    </row>
    <row r="29" spans="1:4" ht="15.75" thickBot="1" x14ac:dyDescent="0.25">
      <c r="A29" s="12" t="s">
        <v>265</v>
      </c>
      <c r="B29" s="20">
        <v>30</v>
      </c>
      <c r="C29" s="21">
        <f>B29</f>
        <v>30</v>
      </c>
      <c r="D29" s="22"/>
    </row>
    <row r="30" spans="1:4" ht="13.5" thickBot="1" x14ac:dyDescent="0.25"/>
    <row r="31" spans="1:4" ht="13.5" thickBot="1" x14ac:dyDescent="0.25">
      <c r="D31" s="15">
        <f>SUM(B27:C30)</f>
        <v>108.6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/>
    </row>
    <row r="34" spans="1:4" ht="15" x14ac:dyDescent="0.2">
      <c r="A34" s="12" t="s">
        <v>266</v>
      </c>
      <c r="B34" s="17"/>
      <c r="C34" s="18">
        <f>B34</f>
        <v>0</v>
      </c>
      <c r="D34" s="19"/>
    </row>
    <row r="35" spans="1:4" ht="15.75" thickBot="1" x14ac:dyDescent="0.25">
      <c r="A35" s="12" t="s">
        <v>265</v>
      </c>
      <c r="B35" s="20"/>
      <c r="C35" s="21">
        <f>B35</f>
        <v>0</v>
      </c>
      <c r="D35" s="22"/>
    </row>
    <row r="36" spans="1:4" ht="13.5" thickBot="1" x14ac:dyDescent="0.25"/>
    <row r="37" spans="1:4" ht="13.5" thickBot="1" x14ac:dyDescent="0.25">
      <c r="D37" s="15">
        <f>SUM(B33:C36)</f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433.79999999999995</v>
      </c>
    </row>
  </sheetData>
  <pageMargins left="0.7" right="0.7" top="0.75" bottom="0.75" header="0.3" footer="0.3"/>
  <pageSetup fitToHeight="0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6580-DC83-4268-A1D1-4AEC387085BC}">
  <sheetPr>
    <pageSetUpPr fitToPage="1"/>
  </sheetPr>
  <dimension ref="A1:D39"/>
  <sheetViews>
    <sheetView topLeftCell="A19" workbookViewId="0">
      <selection activeCell="B23" sqref="B2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43374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43374</v>
      </c>
    </row>
    <row r="5" spans="1:4" ht="15" x14ac:dyDescent="0.2">
      <c r="A5" s="12" t="s">
        <v>266</v>
      </c>
      <c r="B5" s="17">
        <v>24.3</v>
      </c>
      <c r="C5" s="18">
        <f>B5</f>
        <v>24.3</v>
      </c>
      <c r="D5" s="19"/>
    </row>
    <row r="6" spans="1:4" ht="15.75" thickBot="1" x14ac:dyDescent="0.25">
      <c r="A6" s="12" t="s">
        <v>265</v>
      </c>
      <c r="B6" s="20">
        <v>30</v>
      </c>
      <c r="C6" s="21">
        <f>B6</f>
        <v>30</v>
      </c>
      <c r="D6" s="22"/>
    </row>
    <row r="7" spans="1:4" ht="13.5" thickBot="1" x14ac:dyDescent="0.25"/>
    <row r="8" spans="1:4" ht="13.5" thickBot="1" x14ac:dyDescent="0.25">
      <c r="D8" s="15">
        <f>SUM(B4:C7)</f>
        <v>108.6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43381</v>
      </c>
    </row>
    <row r="13" spans="1:4" ht="15" x14ac:dyDescent="0.2">
      <c r="A13" s="12" t="s">
        <v>266</v>
      </c>
      <c r="B13" s="17">
        <v>24</v>
      </c>
      <c r="C13" s="18">
        <f>B13</f>
        <v>24</v>
      </c>
      <c r="D13" s="19"/>
    </row>
    <row r="14" spans="1:4" ht="15.75" thickBot="1" x14ac:dyDescent="0.25">
      <c r="A14" s="12" t="s">
        <v>265</v>
      </c>
      <c r="B14" s="20">
        <v>30</v>
      </c>
      <c r="C14" s="21">
        <f>B14</f>
        <v>30</v>
      </c>
      <c r="D14" s="22"/>
    </row>
    <row r="15" spans="1:4" ht="13.5" thickBot="1" x14ac:dyDescent="0.25"/>
    <row r="16" spans="1:4" ht="13.5" thickBot="1" x14ac:dyDescent="0.25">
      <c r="D16" s="15">
        <f>SUM(B12:C15)</f>
        <v>108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43388</v>
      </c>
    </row>
    <row r="21" spans="1:4" ht="15" x14ac:dyDescent="0.2">
      <c r="A21" s="12" t="s">
        <v>266</v>
      </c>
      <c r="B21" s="17">
        <v>24.3</v>
      </c>
      <c r="C21" s="18">
        <f>B21</f>
        <v>24.3</v>
      </c>
      <c r="D21" s="19"/>
    </row>
    <row r="22" spans="1:4" ht="15.75" thickBot="1" x14ac:dyDescent="0.25">
      <c r="A22" s="12" t="s">
        <v>265</v>
      </c>
      <c r="B22" s="20">
        <v>30</v>
      </c>
      <c r="C22" s="21">
        <f>B22</f>
        <v>30</v>
      </c>
      <c r="D22" s="22"/>
    </row>
    <row r="23" spans="1:4" ht="13.5" thickBot="1" x14ac:dyDescent="0.25"/>
    <row r="24" spans="1:4" ht="13.5" thickBot="1" x14ac:dyDescent="0.25">
      <c r="D24" s="15">
        <f>SUM(B20:C23)</f>
        <v>108.6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43395</v>
      </c>
    </row>
    <row r="28" spans="1:4" ht="15" x14ac:dyDescent="0.2">
      <c r="A28" s="12" t="s">
        <v>266</v>
      </c>
      <c r="B28" s="17">
        <v>24.15</v>
      </c>
      <c r="C28" s="18">
        <f>B28</f>
        <v>24.15</v>
      </c>
      <c r="D28" s="19"/>
    </row>
    <row r="29" spans="1:4" ht="15.75" thickBot="1" x14ac:dyDescent="0.25">
      <c r="A29" s="12" t="s">
        <v>265</v>
      </c>
      <c r="B29" s="20">
        <v>30</v>
      </c>
      <c r="C29" s="21">
        <f>B29</f>
        <v>30</v>
      </c>
      <c r="D29" s="22"/>
    </row>
    <row r="30" spans="1:4" ht="13.5" thickBot="1" x14ac:dyDescent="0.25"/>
    <row r="31" spans="1:4" ht="13.5" thickBot="1" x14ac:dyDescent="0.25">
      <c r="D31" s="15">
        <f>SUM(B27:C30)</f>
        <v>108.3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f>A27+7</f>
        <v>43402</v>
      </c>
    </row>
    <row r="34" spans="1:4" ht="15" x14ac:dyDescent="0.2">
      <c r="A34" s="12" t="s">
        <v>266</v>
      </c>
      <c r="B34" s="17">
        <v>24.3</v>
      </c>
      <c r="C34" s="18">
        <f>B34</f>
        <v>24.3</v>
      </c>
      <c r="D34" s="19"/>
    </row>
    <row r="35" spans="1:4" ht="15.75" thickBot="1" x14ac:dyDescent="0.25">
      <c r="A35" s="12" t="s">
        <v>265</v>
      </c>
      <c r="B35" s="20">
        <v>30</v>
      </c>
      <c r="C35" s="21">
        <f>B35</f>
        <v>30</v>
      </c>
      <c r="D35" s="22"/>
    </row>
    <row r="36" spans="1:4" ht="13.5" thickBot="1" x14ac:dyDescent="0.25"/>
    <row r="37" spans="1:4" ht="13.5" thickBot="1" x14ac:dyDescent="0.25">
      <c r="D37" s="15">
        <f>SUM(B33:C36)</f>
        <v>108.6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542.1</v>
      </c>
    </row>
  </sheetData>
  <pageMargins left="0.7" right="0.7" top="0.75" bottom="0.75" header="0.3" footer="0.3"/>
  <pageSetup scale="96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55C8-2CA9-420D-A658-D1FF4BCFA22B}">
  <sheetPr>
    <pageSetUpPr fitToPage="1"/>
  </sheetPr>
  <dimension ref="A1:D39"/>
  <sheetViews>
    <sheetView topLeftCell="A13" workbookViewId="0">
      <selection activeCell="B30" sqref="B30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43405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43409</v>
      </c>
    </row>
    <row r="5" spans="1:4" ht="15" x14ac:dyDescent="0.2">
      <c r="A5" s="12" t="s">
        <v>266</v>
      </c>
      <c r="B5" s="17">
        <v>22.17</v>
      </c>
      <c r="C5" s="18">
        <f>B5</f>
        <v>22.17</v>
      </c>
      <c r="D5" s="19"/>
    </row>
    <row r="6" spans="1:4" ht="15.75" thickBot="1" x14ac:dyDescent="0.25">
      <c r="A6" s="12" t="s">
        <v>265</v>
      </c>
      <c r="B6" s="20">
        <v>30</v>
      </c>
      <c r="C6" s="21">
        <f>B6</f>
        <v>30</v>
      </c>
      <c r="D6" s="22"/>
    </row>
    <row r="7" spans="1:4" ht="13.5" thickBot="1" x14ac:dyDescent="0.25"/>
    <row r="8" spans="1:4" ht="13.5" thickBot="1" x14ac:dyDescent="0.25">
      <c r="D8" s="15">
        <f>SUM(B4:C7)</f>
        <v>104.34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43416</v>
      </c>
    </row>
    <row r="13" spans="1:4" ht="15" x14ac:dyDescent="0.2">
      <c r="A13" s="12" t="s">
        <v>266</v>
      </c>
      <c r="B13" s="17">
        <v>24.3</v>
      </c>
      <c r="C13" s="18">
        <f>B13</f>
        <v>24.3</v>
      </c>
      <c r="D13" s="19"/>
    </row>
    <row r="14" spans="1:4" ht="15.75" thickBot="1" x14ac:dyDescent="0.25">
      <c r="A14" s="12" t="s">
        <v>265</v>
      </c>
      <c r="B14" s="20">
        <v>30</v>
      </c>
      <c r="C14" s="21">
        <f>B14</f>
        <v>30</v>
      </c>
      <c r="D14" s="22"/>
    </row>
    <row r="15" spans="1:4" ht="13.5" thickBot="1" x14ac:dyDescent="0.25"/>
    <row r="16" spans="1:4" ht="13.5" thickBot="1" x14ac:dyDescent="0.25">
      <c r="D16" s="15">
        <f>SUM(B12:C15)</f>
        <v>108.6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43423</v>
      </c>
    </row>
    <row r="21" spans="1:4" ht="15" x14ac:dyDescent="0.2">
      <c r="A21" s="12" t="s">
        <v>266</v>
      </c>
      <c r="B21" s="17">
        <v>24.3</v>
      </c>
      <c r="C21" s="18">
        <f>B21</f>
        <v>24.3</v>
      </c>
      <c r="D21" s="19"/>
    </row>
    <row r="22" spans="1:4" ht="15.75" thickBot="1" x14ac:dyDescent="0.25">
      <c r="A22" s="12" t="s">
        <v>265</v>
      </c>
      <c r="B22" s="20">
        <v>30</v>
      </c>
      <c r="C22" s="21">
        <f>B22</f>
        <v>30</v>
      </c>
      <c r="D22" s="22"/>
    </row>
    <row r="23" spans="1:4" ht="13.5" thickBot="1" x14ac:dyDescent="0.25"/>
    <row r="24" spans="1:4" ht="13.5" thickBot="1" x14ac:dyDescent="0.25">
      <c r="D24" s="15">
        <f>SUM(B20:C23)</f>
        <v>108.6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43430</v>
      </c>
    </row>
    <row r="28" spans="1:4" ht="15" x14ac:dyDescent="0.2">
      <c r="A28" s="12" t="s">
        <v>266</v>
      </c>
      <c r="B28" s="17">
        <v>24.3</v>
      </c>
      <c r="C28" s="18">
        <f>B28</f>
        <v>24.3</v>
      </c>
      <c r="D28" s="19"/>
    </row>
    <row r="29" spans="1:4" ht="15.75" thickBot="1" x14ac:dyDescent="0.25">
      <c r="A29" s="12" t="s">
        <v>265</v>
      </c>
      <c r="B29" s="20">
        <v>30</v>
      </c>
      <c r="C29" s="21">
        <f>B29</f>
        <v>30</v>
      </c>
      <c r="D29" s="22"/>
    </row>
    <row r="30" spans="1:4" ht="13.5" thickBot="1" x14ac:dyDescent="0.25"/>
    <row r="31" spans="1:4" ht="13.5" thickBot="1" x14ac:dyDescent="0.25">
      <c r="D31" s="15">
        <f>SUM(B27:C30)</f>
        <v>108.6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f>A27+7</f>
        <v>43437</v>
      </c>
    </row>
    <row r="34" spans="1:4" ht="15" x14ac:dyDescent="0.2">
      <c r="A34" s="12" t="s">
        <v>266</v>
      </c>
      <c r="B34" s="17"/>
      <c r="C34" s="18">
        <f>B34</f>
        <v>0</v>
      </c>
      <c r="D34" s="19"/>
    </row>
    <row r="35" spans="1:4" ht="15.75" thickBot="1" x14ac:dyDescent="0.25">
      <c r="A35" s="12" t="s">
        <v>265</v>
      </c>
      <c r="B35" s="20"/>
      <c r="C35" s="21">
        <f>B35</f>
        <v>0</v>
      </c>
      <c r="D35" s="22"/>
    </row>
    <row r="36" spans="1:4" ht="13.5" thickBot="1" x14ac:dyDescent="0.25"/>
    <row r="37" spans="1:4" ht="13.5" thickBot="1" x14ac:dyDescent="0.25">
      <c r="D37" s="15">
        <f>SUM(B33:C36)</f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430.14</v>
      </c>
    </row>
  </sheetData>
  <pageMargins left="0.7" right="0.7" top="0.75" bottom="0.75" header="0.3" footer="0.3"/>
  <pageSetup scale="96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A978-E1E1-492D-AB1F-A289E0F12B23}">
  <sheetPr>
    <pageSetUpPr fitToPage="1"/>
  </sheetPr>
  <dimension ref="A1:D39"/>
  <sheetViews>
    <sheetView topLeftCell="A10" workbookViewId="0">
      <selection activeCell="B36" sqref="B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43435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43437</v>
      </c>
    </row>
    <row r="5" spans="1:4" ht="15" x14ac:dyDescent="0.2">
      <c r="A5" s="12" t="s">
        <v>266</v>
      </c>
      <c r="B5" s="17">
        <v>24.3</v>
      </c>
      <c r="C5" s="18">
        <f>B5</f>
        <v>24.3</v>
      </c>
      <c r="D5" s="19"/>
    </row>
    <row r="6" spans="1:4" ht="15.75" thickBot="1" x14ac:dyDescent="0.25">
      <c r="A6" s="12" t="s">
        <v>265</v>
      </c>
      <c r="B6" s="20">
        <v>13.23</v>
      </c>
      <c r="C6" s="21">
        <f>B6</f>
        <v>13.23</v>
      </c>
      <c r="D6" s="22"/>
    </row>
    <row r="7" spans="1:4" ht="13.5" thickBot="1" x14ac:dyDescent="0.25"/>
    <row r="8" spans="1:4" ht="13.5" thickBot="1" x14ac:dyDescent="0.25">
      <c r="D8" s="15">
        <f>SUM(B4:C7)</f>
        <v>75.06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43444</v>
      </c>
    </row>
    <row r="13" spans="1:4" ht="15" x14ac:dyDescent="0.2">
      <c r="A13" s="12" t="s">
        <v>266</v>
      </c>
      <c r="B13" s="17">
        <v>24.3</v>
      </c>
      <c r="C13" s="18">
        <f>B13</f>
        <v>24.3</v>
      </c>
      <c r="D13" s="19"/>
    </row>
    <row r="14" spans="1:4" ht="15.75" thickBot="1" x14ac:dyDescent="0.25">
      <c r="A14" s="12" t="s">
        <v>265</v>
      </c>
      <c r="B14" s="20">
        <v>26.25</v>
      </c>
      <c r="C14" s="21">
        <f>B14</f>
        <v>26.25</v>
      </c>
      <c r="D14" s="22"/>
    </row>
    <row r="15" spans="1:4" ht="13.5" thickBot="1" x14ac:dyDescent="0.25"/>
    <row r="16" spans="1:4" ht="13.5" thickBot="1" x14ac:dyDescent="0.25">
      <c r="D16" s="15">
        <f>SUM(B12:C15)</f>
        <v>101.1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43451</v>
      </c>
    </row>
    <row r="21" spans="1:4" ht="15" x14ac:dyDescent="0.2">
      <c r="A21" s="12" t="s">
        <v>266</v>
      </c>
      <c r="B21" s="17">
        <v>24.3</v>
      </c>
      <c r="C21" s="18">
        <f>B21</f>
        <v>24.3</v>
      </c>
      <c r="D21" s="19"/>
    </row>
    <row r="22" spans="1:4" ht="15.75" thickBot="1" x14ac:dyDescent="0.25">
      <c r="A22" s="12" t="s">
        <v>265</v>
      </c>
      <c r="B22" s="20">
        <v>30</v>
      </c>
      <c r="C22" s="21">
        <f>B22</f>
        <v>30</v>
      </c>
      <c r="D22" s="22"/>
    </row>
    <row r="23" spans="1:4" ht="13.5" thickBot="1" x14ac:dyDescent="0.25"/>
    <row r="24" spans="1:4" ht="13.5" thickBot="1" x14ac:dyDescent="0.25">
      <c r="D24" s="15">
        <f>SUM(B20:C23)</f>
        <v>108.6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43458</v>
      </c>
    </row>
    <row r="28" spans="1:4" ht="15" x14ac:dyDescent="0.2">
      <c r="A28" s="12" t="s">
        <v>266</v>
      </c>
      <c r="B28" s="17">
        <v>24.3</v>
      </c>
      <c r="C28" s="18">
        <f>B28</f>
        <v>24.3</v>
      </c>
      <c r="D28" s="19"/>
    </row>
    <row r="29" spans="1:4" ht="15.75" thickBot="1" x14ac:dyDescent="0.25">
      <c r="A29" s="12" t="s">
        <v>265</v>
      </c>
      <c r="B29" s="20">
        <v>30</v>
      </c>
      <c r="C29" s="21">
        <f>B29</f>
        <v>30</v>
      </c>
      <c r="D29" s="22"/>
    </row>
    <row r="30" spans="1:4" ht="13.5" thickBot="1" x14ac:dyDescent="0.25"/>
    <row r="31" spans="1:4" ht="13.5" thickBot="1" x14ac:dyDescent="0.25">
      <c r="D31" s="15">
        <f>SUM(B27:C30)</f>
        <v>108.6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f>A27+7</f>
        <v>43465</v>
      </c>
    </row>
    <row r="34" spans="1:4" ht="15" x14ac:dyDescent="0.2">
      <c r="A34" s="12" t="s">
        <v>266</v>
      </c>
      <c r="B34" s="17">
        <v>23.09</v>
      </c>
      <c r="C34" s="18">
        <f>B34</f>
        <v>23.09</v>
      </c>
      <c r="D34" s="19"/>
    </row>
    <row r="35" spans="1:4" ht="15.75" thickBot="1" x14ac:dyDescent="0.25">
      <c r="A35" s="12" t="s">
        <v>265</v>
      </c>
      <c r="B35" s="20">
        <v>23.74</v>
      </c>
      <c r="C35" s="21">
        <f>B35</f>
        <v>23.74</v>
      </c>
      <c r="D35" s="22"/>
    </row>
    <row r="36" spans="1:4" ht="13.5" thickBot="1" x14ac:dyDescent="0.25"/>
    <row r="37" spans="1:4" ht="13.5" thickBot="1" x14ac:dyDescent="0.25">
      <c r="D37" s="15">
        <f>SUM(B33:C36)</f>
        <v>93.66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487.02000000000004</v>
      </c>
    </row>
  </sheetData>
  <pageMargins left="0.7" right="0.7" top="0.75" bottom="0.75" header="0.3" footer="0.3"/>
  <pageSetup scale="94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9A9F-946F-4140-B9A7-11786C50F142}">
  <sheetPr>
    <pageSetUpPr fitToPage="1"/>
  </sheetPr>
  <dimension ref="A1:D39"/>
  <sheetViews>
    <sheetView workbookViewId="0">
      <selection activeCell="B30" sqref="B30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43466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43472</v>
      </c>
    </row>
    <row r="5" spans="1:4" ht="15" x14ac:dyDescent="0.2">
      <c r="A5" s="12" t="s">
        <v>266</v>
      </c>
      <c r="B5" s="17">
        <v>24.3</v>
      </c>
      <c r="C5" s="18">
        <f>B5</f>
        <v>24.3</v>
      </c>
      <c r="D5" s="19"/>
    </row>
    <row r="6" spans="1:4" ht="15.75" thickBot="1" x14ac:dyDescent="0.25">
      <c r="A6" s="12" t="s">
        <v>265</v>
      </c>
      <c r="B6" s="20">
        <v>26.25</v>
      </c>
      <c r="C6" s="21">
        <f>B6</f>
        <v>26.25</v>
      </c>
      <c r="D6" s="22"/>
    </row>
    <row r="7" spans="1:4" ht="13.5" thickBot="1" x14ac:dyDescent="0.25"/>
    <row r="8" spans="1:4" ht="13.5" thickBot="1" x14ac:dyDescent="0.25">
      <c r="D8" s="15">
        <f>SUM(B4:C7)</f>
        <v>101.1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43479</v>
      </c>
    </row>
    <row r="13" spans="1:4" ht="15" x14ac:dyDescent="0.2">
      <c r="A13" s="12" t="s">
        <v>266</v>
      </c>
      <c r="B13" s="17">
        <v>24.3</v>
      </c>
      <c r="C13" s="18">
        <f>B13</f>
        <v>24.3</v>
      </c>
      <c r="D13" s="19"/>
    </row>
    <row r="14" spans="1:4" ht="15.75" thickBot="1" x14ac:dyDescent="0.25">
      <c r="A14" s="12" t="s">
        <v>265</v>
      </c>
      <c r="B14" s="20">
        <v>29</v>
      </c>
      <c r="C14" s="21">
        <f>B14</f>
        <v>29</v>
      </c>
      <c r="D14" s="22"/>
    </row>
    <row r="15" spans="1:4" ht="13.5" thickBot="1" x14ac:dyDescent="0.25"/>
    <row r="16" spans="1:4" ht="13.5" thickBot="1" x14ac:dyDescent="0.25">
      <c r="D16" s="15">
        <f>SUM(B12:C15)</f>
        <v>106.6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43486</v>
      </c>
    </row>
    <row r="21" spans="1:4" ht="15" x14ac:dyDescent="0.2">
      <c r="A21" s="12" t="s">
        <v>266</v>
      </c>
      <c r="B21" s="17">
        <v>24.3</v>
      </c>
      <c r="C21" s="18">
        <f>B21</f>
        <v>24.3</v>
      </c>
      <c r="D21" s="19"/>
    </row>
    <row r="22" spans="1:4" ht="15.75" thickBot="1" x14ac:dyDescent="0.25">
      <c r="A22" s="12" t="s">
        <v>265</v>
      </c>
      <c r="B22" s="20">
        <v>29</v>
      </c>
      <c r="C22" s="21">
        <f>B22</f>
        <v>29</v>
      </c>
      <c r="D22" s="22"/>
    </row>
    <row r="23" spans="1:4" ht="13.5" thickBot="1" x14ac:dyDescent="0.25"/>
    <row r="24" spans="1:4" ht="13.5" thickBot="1" x14ac:dyDescent="0.25">
      <c r="D24" s="15">
        <f>SUM(B20:C23)</f>
        <v>106.6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43493</v>
      </c>
    </row>
    <row r="28" spans="1:4" ht="15" x14ac:dyDescent="0.2">
      <c r="A28" s="12" t="s">
        <v>266</v>
      </c>
      <c r="B28" s="17">
        <v>24.3</v>
      </c>
      <c r="C28" s="18">
        <f>B28</f>
        <v>24.3</v>
      </c>
      <c r="D28" s="19"/>
    </row>
    <row r="29" spans="1:4" ht="15.75" thickBot="1" x14ac:dyDescent="0.25">
      <c r="A29" s="12" t="s">
        <v>265</v>
      </c>
      <c r="B29" s="20">
        <v>30</v>
      </c>
      <c r="C29" s="21">
        <f>B29</f>
        <v>30</v>
      </c>
      <c r="D29" s="22"/>
    </row>
    <row r="30" spans="1:4" ht="13.5" thickBot="1" x14ac:dyDescent="0.25"/>
    <row r="31" spans="1:4" ht="13.5" thickBot="1" x14ac:dyDescent="0.25">
      <c r="D31" s="15">
        <f>SUM(B27:C30)</f>
        <v>108.6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/>
    </row>
    <row r="34" spans="1:4" ht="15" x14ac:dyDescent="0.2">
      <c r="A34" s="12" t="s">
        <v>266</v>
      </c>
      <c r="B34" s="17"/>
      <c r="C34" s="18">
        <f>B34</f>
        <v>0</v>
      </c>
      <c r="D34" s="19"/>
    </row>
    <row r="35" spans="1:4" ht="15.75" thickBot="1" x14ac:dyDescent="0.25">
      <c r="A35" s="12" t="s">
        <v>265</v>
      </c>
      <c r="B35" s="20"/>
      <c r="C35" s="21">
        <f>B35</f>
        <v>0</v>
      </c>
      <c r="D35" s="22"/>
    </row>
    <row r="36" spans="1:4" ht="13.5" thickBot="1" x14ac:dyDescent="0.25"/>
    <row r="37" spans="1:4" ht="13.5" thickBot="1" x14ac:dyDescent="0.25">
      <c r="D37" s="15">
        <f>SUM(B33:C36)</f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422.9</v>
      </c>
    </row>
  </sheetData>
  <pageMargins left="0.7" right="0.7" top="0.75" bottom="0.75" header="0.3" footer="0.3"/>
  <pageSetup scale="96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3234-0E39-4C32-ACB7-813548B62BCE}">
  <sheetPr>
    <pageSetUpPr fitToPage="1"/>
  </sheetPr>
  <dimension ref="A1:D39"/>
  <sheetViews>
    <sheetView workbookViewId="0">
      <selection activeCell="A27" sqref="A27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43525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43528</v>
      </c>
    </row>
    <row r="5" spans="1:4" ht="15" x14ac:dyDescent="0.2">
      <c r="A5" s="12" t="s">
        <v>266</v>
      </c>
      <c r="B5" s="17">
        <v>24.3</v>
      </c>
      <c r="C5" s="18">
        <f>B5</f>
        <v>24.3</v>
      </c>
      <c r="D5" s="19"/>
    </row>
    <row r="6" spans="1:4" ht="15.75" thickBot="1" x14ac:dyDescent="0.25">
      <c r="A6" s="12" t="s">
        <v>265</v>
      </c>
      <c r="B6" s="20">
        <v>29.12</v>
      </c>
      <c r="C6" s="21">
        <f>B6</f>
        <v>29.12</v>
      </c>
      <c r="D6" s="22"/>
    </row>
    <row r="7" spans="1:4" ht="13.5" thickBot="1" x14ac:dyDescent="0.25"/>
    <row r="8" spans="1:4" ht="13.5" thickBot="1" x14ac:dyDescent="0.25">
      <c r="D8" s="15">
        <f>SUM(B4:C7)</f>
        <v>106.84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43535</v>
      </c>
    </row>
    <row r="13" spans="1:4" ht="15" x14ac:dyDescent="0.2">
      <c r="A13" s="12" t="s">
        <v>266</v>
      </c>
      <c r="B13" s="17">
        <v>24.15</v>
      </c>
      <c r="C13" s="18">
        <f>B13</f>
        <v>24.15</v>
      </c>
      <c r="D13" s="19"/>
    </row>
    <row r="14" spans="1:4" ht="15.75" thickBot="1" x14ac:dyDescent="0.25">
      <c r="A14" s="12" t="s">
        <v>265</v>
      </c>
      <c r="B14" s="20">
        <v>27.56</v>
      </c>
      <c r="C14" s="21">
        <f>B14</f>
        <v>27.56</v>
      </c>
      <c r="D14" s="22"/>
    </row>
    <row r="15" spans="1:4" ht="13.5" thickBot="1" x14ac:dyDescent="0.25"/>
    <row r="16" spans="1:4" ht="13.5" thickBot="1" x14ac:dyDescent="0.25">
      <c r="D16" s="15">
        <f>SUM(B12:C15)</f>
        <v>103.42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43542</v>
      </c>
    </row>
    <row r="21" spans="1:4" ht="15" x14ac:dyDescent="0.2">
      <c r="A21" s="12" t="s">
        <v>266</v>
      </c>
      <c r="B21" s="17">
        <v>24.3</v>
      </c>
      <c r="C21" s="18">
        <f>B21</f>
        <v>24.3</v>
      </c>
      <c r="D21" s="19"/>
    </row>
    <row r="22" spans="1:4" ht="15.75" thickBot="1" x14ac:dyDescent="0.25">
      <c r="A22" s="12" t="s">
        <v>265</v>
      </c>
      <c r="B22" s="20">
        <v>28.56</v>
      </c>
      <c r="C22" s="21">
        <f>B22</f>
        <v>28.56</v>
      </c>
      <c r="D22" s="22"/>
    </row>
    <row r="23" spans="1:4" ht="13.5" thickBot="1" x14ac:dyDescent="0.25"/>
    <row r="24" spans="1:4" ht="13.5" thickBot="1" x14ac:dyDescent="0.25">
      <c r="D24" s="15">
        <f>SUM(B20:C23)</f>
        <v>105.72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43549</v>
      </c>
    </row>
    <row r="28" spans="1:4" ht="15" x14ac:dyDescent="0.2">
      <c r="A28" s="12" t="s">
        <v>266</v>
      </c>
      <c r="B28" s="17">
        <v>24.3</v>
      </c>
      <c r="C28" s="18">
        <f>B28</f>
        <v>24.3</v>
      </c>
      <c r="D28" s="19"/>
    </row>
    <row r="29" spans="1:4" ht="15.75" thickBot="1" x14ac:dyDescent="0.25">
      <c r="A29" s="12" t="s">
        <v>265</v>
      </c>
      <c r="B29" s="20">
        <v>28.88</v>
      </c>
      <c r="C29" s="21">
        <f>B29</f>
        <v>28.88</v>
      </c>
      <c r="D29" s="22"/>
    </row>
    <row r="30" spans="1:4" ht="13.5" thickBot="1" x14ac:dyDescent="0.25"/>
    <row r="31" spans="1:4" ht="13.5" thickBot="1" x14ac:dyDescent="0.25">
      <c r="D31" s="15">
        <f>SUM(B27:C30)</f>
        <v>106.36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/>
    </row>
    <row r="34" spans="1:4" ht="15" x14ac:dyDescent="0.2">
      <c r="A34" s="12" t="s">
        <v>266</v>
      </c>
      <c r="B34" s="17"/>
      <c r="C34" s="18">
        <f>B34</f>
        <v>0</v>
      </c>
      <c r="D34" s="19"/>
    </row>
    <row r="35" spans="1:4" ht="15.75" thickBot="1" x14ac:dyDescent="0.25">
      <c r="A35" s="12" t="s">
        <v>265</v>
      </c>
      <c r="B35" s="20"/>
      <c r="C35" s="21">
        <f>B35</f>
        <v>0</v>
      </c>
      <c r="D35" s="22"/>
    </row>
    <row r="36" spans="1:4" ht="13.5" thickBot="1" x14ac:dyDescent="0.25"/>
    <row r="37" spans="1:4" ht="13.5" thickBot="1" x14ac:dyDescent="0.25">
      <c r="D37" s="15">
        <f>SUM(B33:C36)</f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422.34000000000003</v>
      </c>
    </row>
  </sheetData>
  <pageMargins left="0.7" right="0.7" top="0.75" bottom="0.75" header="0.3" footer="0.3"/>
  <pageSetup scale="96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C48F-9086-4F78-824B-2D0B6F22A4ED}">
  <sheetPr>
    <pageSetUpPr fitToPage="1"/>
  </sheetPr>
  <dimension ref="A1:D39"/>
  <sheetViews>
    <sheetView topLeftCell="A10" workbookViewId="0">
      <selection activeCell="D24" sqref="D24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43556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43556</v>
      </c>
    </row>
    <row r="5" spans="1:4" ht="15" x14ac:dyDescent="0.2">
      <c r="A5" s="12" t="s">
        <v>266</v>
      </c>
      <c r="B5" s="17">
        <v>24.3</v>
      </c>
      <c r="C5" s="18">
        <f>B5</f>
        <v>24.3</v>
      </c>
      <c r="D5" s="19"/>
    </row>
    <row r="6" spans="1:4" ht="15.75" thickBot="1" x14ac:dyDescent="0.25">
      <c r="A6" s="12" t="s">
        <v>265</v>
      </c>
      <c r="B6" s="20">
        <v>28.88</v>
      </c>
      <c r="C6" s="21">
        <f>B6</f>
        <v>28.88</v>
      </c>
      <c r="D6" s="22"/>
    </row>
    <row r="7" spans="1:4" ht="13.5" thickBot="1" x14ac:dyDescent="0.25"/>
    <row r="8" spans="1:4" ht="13.5" thickBot="1" x14ac:dyDescent="0.25">
      <c r="D8" s="15">
        <f>SUM(B4:C7)</f>
        <v>106.36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43563</v>
      </c>
    </row>
    <row r="13" spans="1:4" ht="15" x14ac:dyDescent="0.2">
      <c r="A13" s="12" t="s">
        <v>266</v>
      </c>
      <c r="B13" s="17">
        <v>24.3</v>
      </c>
      <c r="C13" s="18">
        <f>B13</f>
        <v>24.3</v>
      </c>
      <c r="D13" s="19"/>
    </row>
    <row r="14" spans="1:4" ht="15.75" thickBot="1" x14ac:dyDescent="0.25">
      <c r="A14" s="12" t="s">
        <v>265</v>
      </c>
      <c r="B14" s="20">
        <v>27.32</v>
      </c>
      <c r="C14" s="21">
        <f>B14</f>
        <v>27.32</v>
      </c>
      <c r="D14" s="22"/>
    </row>
    <row r="15" spans="1:4" ht="13.5" thickBot="1" x14ac:dyDescent="0.25"/>
    <row r="16" spans="1:4" ht="13.5" thickBot="1" x14ac:dyDescent="0.25">
      <c r="D16" s="15">
        <f>SUM(B12:C15)</f>
        <v>103.24000000000001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43570</v>
      </c>
    </row>
    <row r="21" spans="1:4" ht="15" x14ac:dyDescent="0.2">
      <c r="A21" s="12" t="s">
        <v>266</v>
      </c>
      <c r="B21" s="17">
        <v>24.3</v>
      </c>
      <c r="C21" s="18">
        <f>B21</f>
        <v>24.3</v>
      </c>
      <c r="D21" s="19"/>
    </row>
    <row r="22" spans="1:4" ht="15.75" thickBot="1" x14ac:dyDescent="0.25">
      <c r="A22" s="12" t="s">
        <v>265</v>
      </c>
      <c r="B22" s="20">
        <v>29.12</v>
      </c>
      <c r="C22" s="21">
        <f>B22</f>
        <v>29.12</v>
      </c>
      <c r="D22" s="22"/>
    </row>
    <row r="23" spans="1:4" ht="13.5" thickBot="1" x14ac:dyDescent="0.25"/>
    <row r="24" spans="1:4" ht="13.5" thickBot="1" x14ac:dyDescent="0.25">
      <c r="D24" s="15">
        <f>SUM(B20:C23)</f>
        <v>106.84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43577</v>
      </c>
    </row>
    <row r="28" spans="1:4" ht="15" x14ac:dyDescent="0.2">
      <c r="A28" s="12" t="s">
        <v>266</v>
      </c>
      <c r="B28" s="17">
        <v>24.3</v>
      </c>
      <c r="C28" s="18">
        <f>B28</f>
        <v>24.3</v>
      </c>
      <c r="D28" s="19"/>
    </row>
    <row r="29" spans="1:4" ht="15.75" thickBot="1" x14ac:dyDescent="0.25">
      <c r="A29" s="12" t="s">
        <v>265</v>
      </c>
      <c r="B29" s="20">
        <v>29.57</v>
      </c>
      <c r="C29" s="21">
        <f>B29</f>
        <v>29.57</v>
      </c>
      <c r="D29" s="22"/>
    </row>
    <row r="30" spans="1:4" ht="13.5" thickBot="1" x14ac:dyDescent="0.25"/>
    <row r="31" spans="1:4" ht="13.5" thickBot="1" x14ac:dyDescent="0.25">
      <c r="D31" s="15">
        <f>SUM(B27:C30)</f>
        <v>107.74000000000001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f>A27+7</f>
        <v>43584</v>
      </c>
    </row>
    <row r="34" spans="1:4" ht="15" x14ac:dyDescent="0.2">
      <c r="A34" s="12" t="s">
        <v>266</v>
      </c>
      <c r="B34" s="17">
        <v>23.99</v>
      </c>
      <c r="C34" s="18">
        <f>B34</f>
        <v>23.99</v>
      </c>
      <c r="D34" s="19"/>
    </row>
    <row r="35" spans="1:4" ht="15.75" thickBot="1" x14ac:dyDescent="0.25">
      <c r="A35" s="12" t="s">
        <v>265</v>
      </c>
      <c r="B35" s="20">
        <v>29</v>
      </c>
      <c r="C35" s="21">
        <f>B35</f>
        <v>29</v>
      </c>
      <c r="D35" s="22"/>
    </row>
    <row r="36" spans="1:4" ht="13.5" thickBot="1" x14ac:dyDescent="0.25"/>
    <row r="37" spans="1:4" ht="13.5" thickBot="1" x14ac:dyDescent="0.25">
      <c r="D37" s="15">
        <f>SUM(B33:C36)</f>
        <v>105.97999999999999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530.16</v>
      </c>
    </row>
  </sheetData>
  <pageMargins left="0.7" right="0.7" top="0.75" bottom="0.75" header="0.3" footer="0.3"/>
  <pageSetup scale="96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E08B-0293-49E5-8140-D7F9A2B6EA76}">
  <sheetPr>
    <pageSetUpPr fitToPage="1"/>
  </sheetPr>
  <dimension ref="A1:D39"/>
  <sheetViews>
    <sheetView topLeftCell="A13" workbookViewId="0">
      <selection activeCell="A33" sqref="A3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43586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43591</v>
      </c>
    </row>
    <row r="5" spans="1:4" ht="15" x14ac:dyDescent="0.2">
      <c r="A5" s="12" t="s">
        <v>266</v>
      </c>
      <c r="B5" s="17">
        <v>24</v>
      </c>
      <c r="C5" s="18">
        <f>B5</f>
        <v>24</v>
      </c>
      <c r="D5" s="19"/>
    </row>
    <row r="6" spans="1:4" ht="15.75" thickBot="1" x14ac:dyDescent="0.25">
      <c r="A6" s="12" t="s">
        <v>265</v>
      </c>
      <c r="B6" s="20">
        <v>28.63</v>
      </c>
      <c r="C6" s="21">
        <f>B6</f>
        <v>28.63</v>
      </c>
      <c r="D6" s="22"/>
    </row>
    <row r="7" spans="1:4" ht="13.5" thickBot="1" x14ac:dyDescent="0.25"/>
    <row r="8" spans="1:4" ht="13.5" thickBot="1" x14ac:dyDescent="0.25">
      <c r="D8" s="15">
        <f>SUM(B4:C7)</f>
        <v>105.25999999999999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43598</v>
      </c>
    </row>
    <row r="13" spans="1:4" ht="15" x14ac:dyDescent="0.2">
      <c r="A13" s="12" t="s">
        <v>266</v>
      </c>
      <c r="B13" s="17">
        <v>24.3</v>
      </c>
      <c r="C13" s="18">
        <f>B13</f>
        <v>24.3</v>
      </c>
      <c r="D13" s="19"/>
    </row>
    <row r="14" spans="1:4" ht="15.75" thickBot="1" x14ac:dyDescent="0.25">
      <c r="A14" s="12" t="s">
        <v>265</v>
      </c>
      <c r="B14" s="20">
        <v>26</v>
      </c>
      <c r="C14" s="21">
        <f>B14</f>
        <v>26</v>
      </c>
      <c r="D14" s="22"/>
    </row>
    <row r="15" spans="1:4" ht="13.5" thickBot="1" x14ac:dyDescent="0.25"/>
    <row r="16" spans="1:4" ht="13.5" thickBot="1" x14ac:dyDescent="0.25">
      <c r="D16" s="15">
        <f>SUM(B12:C15)</f>
        <v>100.6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43605</v>
      </c>
    </row>
    <row r="21" spans="1:4" ht="15" x14ac:dyDescent="0.2">
      <c r="A21" s="12" t="s">
        <v>266</v>
      </c>
      <c r="B21" s="17">
        <v>24.3</v>
      </c>
      <c r="C21" s="18">
        <f>B21</f>
        <v>24.3</v>
      </c>
      <c r="D21" s="19"/>
    </row>
    <row r="22" spans="1:4" ht="15.75" thickBot="1" x14ac:dyDescent="0.25">
      <c r="A22" s="12" t="s">
        <v>265</v>
      </c>
      <c r="B22" s="20">
        <v>29.5</v>
      </c>
      <c r="C22" s="21">
        <f>B22</f>
        <v>29.5</v>
      </c>
      <c r="D22" s="22"/>
    </row>
    <row r="23" spans="1:4" ht="13.5" thickBot="1" x14ac:dyDescent="0.25"/>
    <row r="24" spans="1:4" ht="13.5" thickBot="1" x14ac:dyDescent="0.25">
      <c r="D24" s="15">
        <f>SUM(B20:C23)</f>
        <v>107.6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v>43609</v>
      </c>
    </row>
    <row r="28" spans="1:4" ht="15" x14ac:dyDescent="0.2">
      <c r="A28" s="12" t="s">
        <v>266</v>
      </c>
      <c r="B28" s="17">
        <v>23.49</v>
      </c>
      <c r="C28" s="18">
        <f>B28</f>
        <v>23.49</v>
      </c>
      <c r="D28" s="19"/>
    </row>
    <row r="29" spans="1:4" ht="15.75" thickBot="1" x14ac:dyDescent="0.25">
      <c r="A29" s="12" t="s">
        <v>265</v>
      </c>
      <c r="B29" s="20">
        <v>29.44</v>
      </c>
      <c r="C29" s="21">
        <f>B29</f>
        <v>29.44</v>
      </c>
      <c r="D29" s="22"/>
    </row>
    <row r="30" spans="1:4" ht="13.5" thickBot="1" x14ac:dyDescent="0.25"/>
    <row r="31" spans="1:4" ht="13.5" thickBot="1" x14ac:dyDescent="0.25">
      <c r="D31" s="15">
        <f>SUM(B27:C30)</f>
        <v>105.86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/>
    </row>
    <row r="34" spans="1:4" ht="15" x14ac:dyDescent="0.2">
      <c r="A34" s="12" t="s">
        <v>266</v>
      </c>
      <c r="B34" s="17"/>
      <c r="C34" s="18">
        <f>B34</f>
        <v>0</v>
      </c>
      <c r="D34" s="19"/>
    </row>
    <row r="35" spans="1:4" ht="15.75" thickBot="1" x14ac:dyDescent="0.25">
      <c r="A35" s="12" t="s">
        <v>265</v>
      </c>
      <c r="B35" s="20"/>
      <c r="C35" s="21">
        <f>B35</f>
        <v>0</v>
      </c>
      <c r="D35" s="22"/>
    </row>
    <row r="36" spans="1:4" ht="13.5" thickBot="1" x14ac:dyDescent="0.25"/>
    <row r="37" spans="1:4" ht="13.5" thickBot="1" x14ac:dyDescent="0.25">
      <c r="D37" s="15">
        <f>SUM(B33:C36)</f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419.31999999999994</v>
      </c>
    </row>
  </sheetData>
  <pageMargins left="0.7" right="0.7" top="0.75" bottom="0.75" header="0.3" footer="0.3"/>
  <pageSetup scale="96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6345-7604-4C45-AAEB-147F1DE768D6}">
  <sheetPr>
    <pageSetUpPr fitToPage="1"/>
  </sheetPr>
  <dimension ref="A1:D39"/>
  <sheetViews>
    <sheetView topLeftCell="A10" workbookViewId="0">
      <selection activeCell="A33" sqref="A3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43617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43619</v>
      </c>
    </row>
    <row r="5" spans="1:4" ht="15" x14ac:dyDescent="0.2">
      <c r="A5" s="12" t="s">
        <v>266</v>
      </c>
      <c r="B5" s="17">
        <v>24.3</v>
      </c>
      <c r="C5" s="18">
        <f>B5</f>
        <v>24.3</v>
      </c>
      <c r="D5" s="19"/>
    </row>
    <row r="6" spans="1:4" ht="15.75" thickBot="1" x14ac:dyDescent="0.25">
      <c r="A6" s="12" t="s">
        <v>265</v>
      </c>
      <c r="B6" s="20">
        <v>29.75</v>
      </c>
      <c r="C6" s="21">
        <f>B6</f>
        <v>29.75</v>
      </c>
      <c r="D6" s="22"/>
    </row>
    <row r="7" spans="1:4" ht="13.5" thickBot="1" x14ac:dyDescent="0.25"/>
    <row r="8" spans="1:4" ht="13.5" thickBot="1" x14ac:dyDescent="0.25">
      <c r="D8" s="15">
        <f>SUM(B4:C7)</f>
        <v>108.1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43626</v>
      </c>
    </row>
    <row r="13" spans="1:4" ht="15" x14ac:dyDescent="0.2">
      <c r="A13" s="12" t="s">
        <v>266</v>
      </c>
      <c r="B13" s="17">
        <v>24.3</v>
      </c>
      <c r="C13" s="18">
        <f>B13</f>
        <v>24.3</v>
      </c>
      <c r="D13" s="19"/>
    </row>
    <row r="14" spans="1:4" ht="15.75" thickBot="1" x14ac:dyDescent="0.25">
      <c r="A14" s="12" t="s">
        <v>265</v>
      </c>
      <c r="B14" s="20">
        <v>29.44</v>
      </c>
      <c r="C14" s="21">
        <f>B14</f>
        <v>29.44</v>
      </c>
      <c r="D14" s="22"/>
    </row>
    <row r="15" spans="1:4" ht="13.5" thickBot="1" x14ac:dyDescent="0.25"/>
    <row r="16" spans="1:4" ht="13.5" thickBot="1" x14ac:dyDescent="0.25">
      <c r="D16" s="15">
        <f>SUM(B12:C15)</f>
        <v>107.48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43633</v>
      </c>
    </row>
    <row r="21" spans="1:4" ht="15" x14ac:dyDescent="0.2">
      <c r="A21" s="12" t="s">
        <v>266</v>
      </c>
      <c r="B21" s="17">
        <v>19.440000000000001</v>
      </c>
      <c r="C21" s="18">
        <f>B21</f>
        <v>19.440000000000001</v>
      </c>
      <c r="D21" s="19"/>
    </row>
    <row r="22" spans="1:4" ht="15.75" thickBot="1" x14ac:dyDescent="0.25">
      <c r="A22" s="12" t="s">
        <v>265</v>
      </c>
      <c r="B22" s="20">
        <v>28.88</v>
      </c>
      <c r="C22" s="21">
        <f>B22</f>
        <v>28.88</v>
      </c>
      <c r="D22" s="22"/>
    </row>
    <row r="23" spans="1:4" ht="13.5" thickBot="1" x14ac:dyDescent="0.25"/>
    <row r="24" spans="1:4" ht="13.5" thickBot="1" x14ac:dyDescent="0.25">
      <c r="D24" s="15">
        <f>SUM(B20:C23)</f>
        <v>96.64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43640</v>
      </c>
    </row>
    <row r="28" spans="1:4" ht="15" x14ac:dyDescent="0.2">
      <c r="A28" s="12" t="s">
        <v>266</v>
      </c>
      <c r="B28" s="17">
        <v>24.3</v>
      </c>
      <c r="C28" s="18">
        <f>B28</f>
        <v>24.3</v>
      </c>
      <c r="D28" s="19"/>
    </row>
    <row r="29" spans="1:4" ht="15.75" thickBot="1" x14ac:dyDescent="0.25">
      <c r="A29" s="12" t="s">
        <v>265</v>
      </c>
      <c r="B29" s="20">
        <v>30</v>
      </c>
      <c r="C29" s="21">
        <f>B29</f>
        <v>30</v>
      </c>
      <c r="D29" s="22"/>
    </row>
    <row r="30" spans="1:4" ht="13.5" thickBot="1" x14ac:dyDescent="0.25"/>
    <row r="31" spans="1:4" ht="13.5" thickBot="1" x14ac:dyDescent="0.25">
      <c r="D31" s="15">
        <f>SUM(B27:C30)</f>
        <v>108.6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/>
    </row>
    <row r="34" spans="1:4" ht="15" x14ac:dyDescent="0.2">
      <c r="A34" s="12" t="s">
        <v>266</v>
      </c>
      <c r="B34" s="17"/>
      <c r="C34" s="18">
        <f>B34</f>
        <v>0</v>
      </c>
      <c r="D34" s="19"/>
    </row>
    <row r="35" spans="1:4" ht="15.75" thickBot="1" x14ac:dyDescent="0.25">
      <c r="A35" s="12" t="s">
        <v>265</v>
      </c>
      <c r="B35" s="20"/>
      <c r="C35" s="21">
        <f>B35</f>
        <v>0</v>
      </c>
      <c r="D35" s="22"/>
    </row>
    <row r="36" spans="1:4" ht="13.5" thickBot="1" x14ac:dyDescent="0.25"/>
    <row r="37" spans="1:4" ht="13.5" thickBot="1" x14ac:dyDescent="0.25">
      <c r="D37" s="15">
        <f>SUM(B33:C36)</f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420.82000000000005</v>
      </c>
    </row>
  </sheetData>
  <pageMargins left="0.7" right="0.7" top="0.75" bottom="0.75" header="0.3" footer="0.3"/>
  <pageSetup scale="96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B82C-7C8C-4DF8-AD0A-9A70E0DCFFE2}">
  <sheetPr>
    <pageSetUpPr fitToPage="1"/>
  </sheetPr>
  <dimension ref="A1:D39"/>
  <sheetViews>
    <sheetView workbookViewId="0">
      <selection activeCell="B36" sqref="B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43647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43647</v>
      </c>
    </row>
    <row r="5" spans="1:4" ht="15" x14ac:dyDescent="0.2">
      <c r="A5" s="12" t="s">
        <v>266</v>
      </c>
      <c r="B5" s="17">
        <v>24.3</v>
      </c>
      <c r="C5" s="18">
        <f>B5</f>
        <v>24.3</v>
      </c>
      <c r="D5" s="19"/>
    </row>
    <row r="6" spans="1:4" ht="15.75" thickBot="1" x14ac:dyDescent="0.25">
      <c r="A6" s="12" t="s">
        <v>265</v>
      </c>
      <c r="B6" s="20">
        <v>28.13</v>
      </c>
      <c r="C6" s="21">
        <f>B6</f>
        <v>28.13</v>
      </c>
      <c r="D6" s="22"/>
    </row>
    <row r="7" spans="1:4" ht="13.5" thickBot="1" x14ac:dyDescent="0.25"/>
    <row r="8" spans="1:4" ht="13.5" thickBot="1" x14ac:dyDescent="0.25">
      <c r="D8" s="15">
        <f>SUM(B4:C7)</f>
        <v>104.86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43654</v>
      </c>
    </row>
    <row r="13" spans="1:4" ht="15" x14ac:dyDescent="0.2">
      <c r="A13" s="12" t="s">
        <v>266</v>
      </c>
      <c r="B13" s="17">
        <v>24.3</v>
      </c>
      <c r="C13" s="18">
        <f>B13</f>
        <v>24.3</v>
      </c>
      <c r="D13" s="19"/>
    </row>
    <row r="14" spans="1:4" ht="15.75" thickBot="1" x14ac:dyDescent="0.25">
      <c r="A14" s="12" t="s">
        <v>265</v>
      </c>
      <c r="B14" s="20">
        <v>28.5</v>
      </c>
      <c r="C14" s="21">
        <f>B14</f>
        <v>28.5</v>
      </c>
      <c r="D14" s="22"/>
    </row>
    <row r="15" spans="1:4" ht="13.5" thickBot="1" x14ac:dyDescent="0.25"/>
    <row r="16" spans="1:4" ht="13.5" thickBot="1" x14ac:dyDescent="0.25">
      <c r="D16" s="15">
        <f>SUM(B12:C15)</f>
        <v>105.6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43661</v>
      </c>
    </row>
    <row r="21" spans="1:4" ht="15" x14ac:dyDescent="0.2">
      <c r="A21" s="12" t="s">
        <v>266</v>
      </c>
      <c r="B21" s="17">
        <v>24.9</v>
      </c>
      <c r="C21" s="18">
        <f>B21</f>
        <v>24.9</v>
      </c>
      <c r="D21" s="19"/>
    </row>
    <row r="22" spans="1:4" ht="15.75" thickBot="1" x14ac:dyDescent="0.25">
      <c r="A22" s="12" t="s">
        <v>265</v>
      </c>
      <c r="B22" s="20">
        <v>30.6</v>
      </c>
      <c r="C22" s="21">
        <f>B22</f>
        <v>30.6</v>
      </c>
      <c r="D22" s="22"/>
    </row>
    <row r="23" spans="1:4" ht="13.5" thickBot="1" x14ac:dyDescent="0.25"/>
    <row r="24" spans="1:4" ht="13.5" thickBot="1" x14ac:dyDescent="0.25">
      <c r="D24" s="15">
        <f>SUM(B20:C23)</f>
        <v>111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43668</v>
      </c>
    </row>
    <row r="28" spans="1:4" ht="15" x14ac:dyDescent="0.2">
      <c r="A28" s="12" t="s">
        <v>266</v>
      </c>
      <c r="B28" s="17">
        <v>24.9</v>
      </c>
      <c r="C28" s="18">
        <f>B28</f>
        <v>24.9</v>
      </c>
      <c r="D28" s="19"/>
    </row>
    <row r="29" spans="1:4" ht="15.75" thickBot="1" x14ac:dyDescent="0.25">
      <c r="A29" s="12" t="s">
        <v>265</v>
      </c>
      <c r="B29" s="20">
        <v>30.6</v>
      </c>
      <c r="C29" s="21">
        <f>B29</f>
        <v>30.6</v>
      </c>
      <c r="D29" s="22"/>
    </row>
    <row r="30" spans="1:4" ht="13.5" thickBot="1" x14ac:dyDescent="0.25"/>
    <row r="31" spans="1:4" ht="13.5" thickBot="1" x14ac:dyDescent="0.25">
      <c r="D31" s="15">
        <f>SUM(B27:C30)</f>
        <v>111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f>A27+7</f>
        <v>43675</v>
      </c>
    </row>
    <row r="34" spans="1:4" ht="15" x14ac:dyDescent="0.2">
      <c r="A34" s="12" t="s">
        <v>266</v>
      </c>
      <c r="B34" s="17">
        <v>24.9</v>
      </c>
      <c r="C34" s="18">
        <f>B34</f>
        <v>24.9</v>
      </c>
      <c r="D34" s="19"/>
    </row>
    <row r="35" spans="1:4" ht="15.75" thickBot="1" x14ac:dyDescent="0.25">
      <c r="A35" s="12" t="s">
        <v>265</v>
      </c>
      <c r="B35" s="20">
        <v>30.6</v>
      </c>
      <c r="C35" s="21">
        <f>B35</f>
        <v>30.6</v>
      </c>
      <c r="D35" s="22"/>
    </row>
    <row r="36" spans="1:4" ht="13.5" thickBot="1" x14ac:dyDescent="0.25"/>
    <row r="37" spans="1:4" ht="13.5" thickBot="1" x14ac:dyDescent="0.25">
      <c r="D37" s="15">
        <f>SUM(B33:C36)</f>
        <v>111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543.46</v>
      </c>
    </row>
  </sheetData>
  <pageMargins left="0.7" right="0.7" top="0.75" bottom="0.75" header="0.3" footer="0.3"/>
  <pageSetup scale="96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ADB8-A206-4CBB-B26C-4F4636897728}">
  <sheetPr>
    <pageSetUpPr fitToPage="1"/>
  </sheetPr>
  <dimension ref="A1:D39"/>
  <sheetViews>
    <sheetView workbookViewId="0">
      <selection activeCell="B30" sqref="B30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43678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43682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.75" thickBot="1" x14ac:dyDescent="0.25">
      <c r="A6" s="12" t="s">
        <v>265</v>
      </c>
      <c r="B6" s="20">
        <v>30.41</v>
      </c>
      <c r="C6" s="21">
        <f>B6</f>
        <v>30.41</v>
      </c>
      <c r="D6" s="22"/>
    </row>
    <row r="7" spans="1:4" ht="13.5" thickBot="1" x14ac:dyDescent="0.25"/>
    <row r="8" spans="1:4" ht="13.5" thickBot="1" x14ac:dyDescent="0.25">
      <c r="D8" s="15">
        <f>SUM(B4:C7)</f>
        <v>110.61999999999999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43689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.75" thickBot="1" x14ac:dyDescent="0.25">
      <c r="A14" s="12" t="s">
        <v>265</v>
      </c>
      <c r="B14" s="20">
        <v>30.22</v>
      </c>
      <c r="C14" s="21">
        <f>B14</f>
        <v>30.22</v>
      </c>
      <c r="D14" s="22"/>
    </row>
    <row r="15" spans="1:4" ht="13.5" thickBot="1" x14ac:dyDescent="0.25"/>
    <row r="16" spans="1:4" ht="13.5" thickBot="1" x14ac:dyDescent="0.25">
      <c r="D16" s="15">
        <f>SUM(B12:C15)</f>
        <v>110.24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43696</v>
      </c>
    </row>
    <row r="21" spans="1:4" ht="15" x14ac:dyDescent="0.2">
      <c r="A21" s="12" t="s">
        <v>266</v>
      </c>
      <c r="B21" s="17">
        <v>24.9</v>
      </c>
      <c r="C21" s="18">
        <f>B21</f>
        <v>24.9</v>
      </c>
      <c r="D21" s="19"/>
    </row>
    <row r="22" spans="1:4" ht="15.75" thickBot="1" x14ac:dyDescent="0.25">
      <c r="A22" s="12" t="s">
        <v>265</v>
      </c>
      <c r="B22" s="20">
        <v>27.16</v>
      </c>
      <c r="C22" s="21">
        <f>B22</f>
        <v>27.16</v>
      </c>
      <c r="D22" s="22"/>
    </row>
    <row r="23" spans="1:4" ht="13.5" thickBot="1" x14ac:dyDescent="0.25"/>
    <row r="24" spans="1:4" ht="13.5" thickBot="1" x14ac:dyDescent="0.25">
      <c r="D24" s="15">
        <f>SUM(B20:C23)</f>
        <v>104.11999999999999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43703</v>
      </c>
    </row>
    <row r="28" spans="1:4" ht="15" x14ac:dyDescent="0.2">
      <c r="A28" s="12" t="s">
        <v>266</v>
      </c>
      <c r="B28" s="17">
        <v>24.9</v>
      </c>
      <c r="C28" s="18">
        <f>B28</f>
        <v>24.9</v>
      </c>
      <c r="D28" s="19"/>
    </row>
    <row r="29" spans="1:4" ht="15.75" thickBot="1" x14ac:dyDescent="0.25">
      <c r="A29" s="12" t="s">
        <v>265</v>
      </c>
      <c r="B29" s="20">
        <v>28.63</v>
      </c>
      <c r="C29" s="21">
        <f>B29</f>
        <v>28.63</v>
      </c>
      <c r="D29" s="22"/>
    </row>
    <row r="30" spans="1:4" ht="13.5" thickBot="1" x14ac:dyDescent="0.25"/>
    <row r="31" spans="1:4" ht="13.5" thickBot="1" x14ac:dyDescent="0.25">
      <c r="D31" s="15">
        <f>SUM(B27:C30)</f>
        <v>107.05999999999999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f>A27+7</f>
        <v>43710</v>
      </c>
    </row>
    <row r="34" spans="1:4" ht="15" x14ac:dyDescent="0.2">
      <c r="A34" s="12" t="s">
        <v>266</v>
      </c>
      <c r="B34" s="17"/>
      <c r="C34" s="18">
        <f>B34</f>
        <v>0</v>
      </c>
      <c r="D34" s="19"/>
    </row>
    <row r="35" spans="1:4" ht="15.75" thickBot="1" x14ac:dyDescent="0.25">
      <c r="A35" s="12" t="s">
        <v>265</v>
      </c>
      <c r="B35" s="20"/>
      <c r="C35" s="21">
        <f>B35</f>
        <v>0</v>
      </c>
      <c r="D35" s="22"/>
    </row>
    <row r="36" spans="1:4" ht="13.5" thickBot="1" x14ac:dyDescent="0.25"/>
    <row r="37" spans="1:4" ht="13.5" thickBot="1" x14ac:dyDescent="0.25">
      <c r="D37" s="15">
        <f>SUM(B33:C36)</f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432.03999999999996</v>
      </c>
    </row>
  </sheetData>
  <pageMargins left="0.7" right="0.7" top="0.75" bottom="0.75" header="0.3" footer="0.3"/>
  <pageSetup scale="96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D12B-A368-4415-8786-D9A1511CCBE0}">
  <dimension ref="A1:D39"/>
  <sheetViews>
    <sheetView workbookViewId="0">
      <selection activeCell="B36" sqref="B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43709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43710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.75" thickBot="1" x14ac:dyDescent="0.25">
      <c r="A6" s="12" t="s">
        <v>265</v>
      </c>
      <c r="B6" s="20">
        <v>28.94</v>
      </c>
      <c r="C6" s="21">
        <f>B6</f>
        <v>28.94</v>
      </c>
      <c r="D6" s="22"/>
    </row>
    <row r="7" spans="1:4" ht="13.5" thickBot="1" x14ac:dyDescent="0.25"/>
    <row r="8" spans="1:4" ht="13.5" thickBot="1" x14ac:dyDescent="0.25">
      <c r="D8" s="15">
        <f>SUM(B4:C7)</f>
        <v>107.67999999999999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43717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.75" thickBot="1" x14ac:dyDescent="0.25">
      <c r="A14" s="12" t="s">
        <v>265</v>
      </c>
      <c r="B14" s="20">
        <v>28.69</v>
      </c>
      <c r="C14" s="21">
        <f>B14</f>
        <v>28.69</v>
      </c>
      <c r="D14" s="22"/>
    </row>
    <row r="15" spans="1:4" ht="13.5" thickBot="1" x14ac:dyDescent="0.25"/>
    <row r="16" spans="1:4" ht="13.5" thickBot="1" x14ac:dyDescent="0.25">
      <c r="D16" s="15">
        <f>SUM(B12:C15)</f>
        <v>107.17999999999999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43724</v>
      </c>
    </row>
    <row r="21" spans="1:4" ht="15" x14ac:dyDescent="0.2">
      <c r="A21" s="12" t="s">
        <v>266</v>
      </c>
      <c r="B21" s="17">
        <v>23.03</v>
      </c>
      <c r="C21" s="18">
        <f>B21</f>
        <v>23.03</v>
      </c>
      <c r="D21" s="19"/>
    </row>
    <row r="22" spans="1:4" ht="15.75" thickBot="1" x14ac:dyDescent="0.25">
      <c r="A22" s="12" t="s">
        <v>265</v>
      </c>
      <c r="B22" s="20">
        <v>28.88</v>
      </c>
      <c r="C22" s="21">
        <f>B22</f>
        <v>28.88</v>
      </c>
      <c r="D22" s="22"/>
    </row>
    <row r="23" spans="1:4" ht="13.5" thickBot="1" x14ac:dyDescent="0.25"/>
    <row r="24" spans="1:4" ht="13.5" thickBot="1" x14ac:dyDescent="0.25">
      <c r="D24" s="15">
        <f>SUM(B20:C23)</f>
        <v>103.82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43731</v>
      </c>
    </row>
    <row r="28" spans="1:4" ht="15" x14ac:dyDescent="0.2">
      <c r="A28" s="12" t="s">
        <v>266</v>
      </c>
      <c r="B28" s="17">
        <v>23.66</v>
      </c>
      <c r="C28" s="18">
        <f>B28</f>
        <v>23.66</v>
      </c>
      <c r="D28" s="19"/>
    </row>
    <row r="29" spans="1:4" ht="15.75" thickBot="1" x14ac:dyDescent="0.25">
      <c r="A29" s="12" t="s">
        <v>265</v>
      </c>
      <c r="B29" s="20">
        <v>28.94</v>
      </c>
      <c r="C29" s="21">
        <f>B29</f>
        <v>28.94</v>
      </c>
      <c r="D29" s="22"/>
    </row>
    <row r="30" spans="1:4" ht="13.5" thickBot="1" x14ac:dyDescent="0.25"/>
    <row r="31" spans="1:4" ht="13.5" thickBot="1" x14ac:dyDescent="0.25">
      <c r="D31" s="15">
        <f>SUM(B27:C30)</f>
        <v>105.2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f>A27+7</f>
        <v>43738</v>
      </c>
    </row>
    <row r="34" spans="1:4" ht="15" x14ac:dyDescent="0.2">
      <c r="A34" s="12" t="s">
        <v>266</v>
      </c>
      <c r="B34" s="17">
        <v>24.28</v>
      </c>
      <c r="C34" s="18">
        <f>B34</f>
        <v>24.28</v>
      </c>
      <c r="D34" s="19"/>
    </row>
    <row r="35" spans="1:4" ht="15.75" thickBot="1" x14ac:dyDescent="0.25">
      <c r="A35" s="12" t="s">
        <v>265</v>
      </c>
      <c r="B35" s="20">
        <v>28.69</v>
      </c>
      <c r="C35" s="21">
        <f>B35</f>
        <v>28.69</v>
      </c>
      <c r="D35" s="22"/>
    </row>
    <row r="36" spans="1:4" ht="13.5" thickBot="1" x14ac:dyDescent="0.25"/>
    <row r="37" spans="1:4" ht="13.5" thickBot="1" x14ac:dyDescent="0.25">
      <c r="D37" s="15">
        <f>SUM(B33:C36)</f>
        <v>105.94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529.81999999999994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0FB-A3F3-4A9A-B982-C5CE7C149241}">
  <sheetPr>
    <pageSetUpPr fitToPage="1"/>
  </sheetPr>
  <dimension ref="A1:D39"/>
  <sheetViews>
    <sheetView workbookViewId="0">
      <selection activeCell="B19" sqref="B19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43739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43745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.75" thickBot="1" x14ac:dyDescent="0.25">
      <c r="A6" s="12" t="s">
        <v>265</v>
      </c>
      <c r="B6" s="20">
        <v>29.51</v>
      </c>
      <c r="C6" s="21">
        <f>B6</f>
        <v>29.51</v>
      </c>
      <c r="D6" s="22"/>
    </row>
    <row r="7" spans="1:4" ht="13.5" thickBot="1" x14ac:dyDescent="0.25"/>
    <row r="8" spans="1:4" ht="13.5" thickBot="1" x14ac:dyDescent="0.25">
      <c r="D8" s="15">
        <f>SUM(B4:C7)</f>
        <v>108.82000000000001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43752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.75" thickBot="1" x14ac:dyDescent="0.25">
      <c r="A14" s="12" t="s">
        <v>265</v>
      </c>
      <c r="B14" s="20">
        <v>29.26</v>
      </c>
      <c r="C14" s="21">
        <f>B14</f>
        <v>29.26</v>
      </c>
      <c r="D14" s="22"/>
    </row>
    <row r="15" spans="1:4" ht="13.5" thickBot="1" x14ac:dyDescent="0.25"/>
    <row r="16" spans="1:4" ht="13.5" thickBot="1" x14ac:dyDescent="0.25">
      <c r="D16" s="15">
        <f>SUM(B12:C15)</f>
        <v>108.32000000000001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43759</v>
      </c>
    </row>
    <row r="21" spans="1:4" ht="15" x14ac:dyDescent="0.2">
      <c r="A21" s="12" t="s">
        <v>266</v>
      </c>
      <c r="B21" s="17">
        <v>24.9</v>
      </c>
      <c r="C21" s="18">
        <f>B21</f>
        <v>24.9</v>
      </c>
      <c r="D21" s="19"/>
    </row>
    <row r="22" spans="1:4" ht="15.75" thickBot="1" x14ac:dyDescent="0.25">
      <c r="A22" s="12" t="s">
        <v>265</v>
      </c>
      <c r="B22" s="20">
        <v>29.45</v>
      </c>
      <c r="C22" s="21">
        <f>B22</f>
        <v>29.45</v>
      </c>
      <c r="D22" s="22"/>
    </row>
    <row r="23" spans="1:4" ht="13.5" thickBot="1" x14ac:dyDescent="0.25"/>
    <row r="24" spans="1:4" ht="13.5" thickBot="1" x14ac:dyDescent="0.25">
      <c r="D24" s="15">
        <f>SUM(B20:C23)</f>
        <v>108.7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43766</v>
      </c>
    </row>
    <row r="28" spans="1:4" ht="15" x14ac:dyDescent="0.2">
      <c r="A28" s="12" t="s">
        <v>266</v>
      </c>
      <c r="B28" s="17">
        <v>24.9</v>
      </c>
      <c r="C28" s="18">
        <f>B28</f>
        <v>24.9</v>
      </c>
      <c r="D28" s="19"/>
    </row>
    <row r="29" spans="1:4" ht="15.75" thickBot="1" x14ac:dyDescent="0.25">
      <c r="A29" s="12" t="s">
        <v>265</v>
      </c>
      <c r="B29" s="20">
        <v>29.07</v>
      </c>
      <c r="C29" s="21">
        <f>B29</f>
        <v>29.07</v>
      </c>
      <c r="D29" s="22"/>
    </row>
    <row r="30" spans="1:4" ht="13.5" thickBot="1" x14ac:dyDescent="0.25"/>
    <row r="31" spans="1:4" ht="13.5" thickBot="1" x14ac:dyDescent="0.25">
      <c r="D31" s="15">
        <f>SUM(B27:C30)</f>
        <v>107.94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>
        <f>A27+7</f>
        <v>43773</v>
      </c>
    </row>
    <row r="34" spans="1:4" ht="15" x14ac:dyDescent="0.2">
      <c r="A34" s="12" t="s">
        <v>266</v>
      </c>
      <c r="B34" s="17"/>
      <c r="C34" s="18">
        <f>B34</f>
        <v>0</v>
      </c>
      <c r="D34" s="19"/>
    </row>
    <row r="35" spans="1:4" ht="15.75" thickBot="1" x14ac:dyDescent="0.25">
      <c r="A35" s="12" t="s">
        <v>265</v>
      </c>
      <c r="B35" s="20"/>
      <c r="C35" s="21">
        <f>B35</f>
        <v>0</v>
      </c>
      <c r="D35" s="22"/>
    </row>
    <row r="36" spans="1:4" ht="13.5" thickBot="1" x14ac:dyDescent="0.25"/>
    <row r="37" spans="1:4" ht="13.5" thickBot="1" x14ac:dyDescent="0.25">
      <c r="D37" s="15">
        <f>SUM(B33:C36)</f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433.78</v>
      </c>
    </row>
  </sheetData>
  <pageMargins left="0.7" right="0.7" top="0.75" bottom="0.75" header="0.3" footer="0.3"/>
  <pageSetup scale="96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FAAF-5FB3-4D04-A993-9A0341DF1796}">
  <sheetPr>
    <pageSetUpPr fitToPage="1"/>
  </sheetPr>
  <dimension ref="A1:D39"/>
  <sheetViews>
    <sheetView workbookViewId="0">
      <selection activeCell="A33" sqref="A3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43770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43773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.75" thickBot="1" x14ac:dyDescent="0.25">
      <c r="A6" s="12" t="s">
        <v>265</v>
      </c>
      <c r="B6" s="20">
        <v>30.03</v>
      </c>
      <c r="C6" s="21">
        <f>B6</f>
        <v>30.03</v>
      </c>
      <c r="D6" s="22"/>
    </row>
    <row r="7" spans="1:4" ht="13.5" thickBot="1" x14ac:dyDescent="0.25"/>
    <row r="8" spans="1:4" ht="13.5" thickBot="1" x14ac:dyDescent="0.25">
      <c r="D8" s="15">
        <f>SUM(B4:C7)</f>
        <v>109.86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43780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.75" thickBot="1" x14ac:dyDescent="0.25">
      <c r="A14" s="12" t="s">
        <v>265</v>
      </c>
      <c r="B14" s="20">
        <v>29.07</v>
      </c>
      <c r="C14" s="21">
        <f>B14</f>
        <v>29.07</v>
      </c>
      <c r="D14" s="22"/>
    </row>
    <row r="15" spans="1:4" ht="13.5" thickBot="1" x14ac:dyDescent="0.25"/>
    <row r="16" spans="1:4" ht="13.5" thickBot="1" x14ac:dyDescent="0.25">
      <c r="D16" s="15">
        <f>SUM(B12:C15)</f>
        <v>107.94</v>
      </c>
    </row>
    <row r="19" spans="1:4" ht="15.75" thickBot="1" x14ac:dyDescent="0.3">
      <c r="B19" s="13" t="s">
        <v>267</v>
      </c>
      <c r="C19" s="13" t="s">
        <v>268</v>
      </c>
      <c r="D19" s="9" t="s">
        <v>7</v>
      </c>
    </row>
    <row r="20" spans="1:4" ht="13.5" thickBot="1" x14ac:dyDescent="0.25">
      <c r="A20" s="25">
        <f>A12+7</f>
        <v>43787</v>
      </c>
    </row>
    <row r="21" spans="1:4" ht="15" x14ac:dyDescent="0.2">
      <c r="A21" s="12" t="s">
        <v>266</v>
      </c>
      <c r="B21" s="17">
        <v>24.9</v>
      </c>
      <c r="C21" s="18">
        <f>B21</f>
        <v>24.9</v>
      </c>
      <c r="D21" s="19"/>
    </row>
    <row r="22" spans="1:4" ht="15.75" thickBot="1" x14ac:dyDescent="0.25">
      <c r="A22" s="12" t="s">
        <v>265</v>
      </c>
      <c r="B22" s="20">
        <v>29.07</v>
      </c>
      <c r="C22" s="21">
        <f>B22</f>
        <v>29.07</v>
      </c>
      <c r="D22" s="22"/>
    </row>
    <row r="23" spans="1:4" ht="13.5" thickBot="1" x14ac:dyDescent="0.25"/>
    <row r="24" spans="1:4" ht="13.5" thickBot="1" x14ac:dyDescent="0.25">
      <c r="D24" s="15">
        <f>SUM(B20:C23)</f>
        <v>107.94</v>
      </c>
    </row>
    <row r="26" spans="1:4" ht="15.75" thickBot="1" x14ac:dyDescent="0.3">
      <c r="A26" s="10"/>
      <c r="B26" s="13" t="s">
        <v>267</v>
      </c>
      <c r="C26" s="13" t="s">
        <v>268</v>
      </c>
      <c r="D26" s="9" t="s">
        <v>7</v>
      </c>
    </row>
    <row r="27" spans="1:4" ht="13.5" thickBot="1" x14ac:dyDescent="0.25">
      <c r="A27" s="25">
        <f>A20+7</f>
        <v>43794</v>
      </c>
    </row>
    <row r="28" spans="1:4" ht="15" x14ac:dyDescent="0.2">
      <c r="A28" s="12" t="s">
        <v>266</v>
      </c>
      <c r="B28" s="17">
        <v>24.9</v>
      </c>
      <c r="C28" s="18">
        <f>B28</f>
        <v>24.9</v>
      </c>
      <c r="D28" s="19"/>
    </row>
    <row r="29" spans="1:4" ht="15.75" thickBot="1" x14ac:dyDescent="0.25">
      <c r="A29" s="12" t="s">
        <v>265</v>
      </c>
      <c r="B29" s="20">
        <v>18.36</v>
      </c>
      <c r="C29" s="21">
        <f>B29</f>
        <v>18.36</v>
      </c>
      <c r="D29" s="22"/>
    </row>
    <row r="30" spans="1:4" ht="13.5" thickBot="1" x14ac:dyDescent="0.25"/>
    <row r="31" spans="1:4" ht="13.5" thickBot="1" x14ac:dyDescent="0.25">
      <c r="D31" s="15">
        <f>SUM(B27:C30)</f>
        <v>86.52</v>
      </c>
    </row>
    <row r="32" spans="1:4" ht="15.75" thickBot="1" x14ac:dyDescent="0.3">
      <c r="A32" s="10"/>
      <c r="B32" s="13" t="s">
        <v>267</v>
      </c>
      <c r="C32" s="13" t="s">
        <v>268</v>
      </c>
      <c r="D32" s="9" t="s">
        <v>7</v>
      </c>
    </row>
    <row r="33" spans="1:4" ht="12.75" customHeight="1" thickBot="1" x14ac:dyDescent="0.25">
      <c r="A33" s="25"/>
    </row>
    <row r="34" spans="1:4" ht="15" x14ac:dyDescent="0.2">
      <c r="A34" s="12" t="s">
        <v>266</v>
      </c>
      <c r="B34" s="17"/>
      <c r="C34" s="18">
        <f>B34</f>
        <v>0</v>
      </c>
      <c r="D34" s="19"/>
    </row>
    <row r="35" spans="1:4" ht="15.75" thickBot="1" x14ac:dyDescent="0.25">
      <c r="A35" s="12" t="s">
        <v>265</v>
      </c>
      <c r="B35" s="20"/>
      <c r="C35" s="21">
        <f>B35</f>
        <v>0</v>
      </c>
      <c r="D35" s="22"/>
    </row>
    <row r="36" spans="1:4" ht="13.5" thickBot="1" x14ac:dyDescent="0.25"/>
    <row r="37" spans="1:4" ht="13.5" thickBot="1" x14ac:dyDescent="0.25">
      <c r="D37" s="15">
        <f>SUM(B33:C36)</f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f>D37+D31+D24+D16+D8</f>
        <v>412.26</v>
      </c>
    </row>
  </sheetData>
  <pageMargins left="0.7" right="0.7" top="0.75" bottom="0.75" header="0.3" footer="0.3"/>
  <pageSetup scale="96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5502-2151-490C-B8F1-9869AD92120A}">
  <sheetPr>
    <pageSetUpPr fitToPage="1"/>
  </sheetPr>
  <dimension ref="A1:D44"/>
  <sheetViews>
    <sheetView topLeftCell="A13" workbookViewId="0">
      <selection sqref="A1:D44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43800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43801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.75" thickBot="1" x14ac:dyDescent="0.25">
      <c r="A6" s="12" t="s">
        <v>265</v>
      </c>
      <c r="B6" s="20">
        <v>29.07</v>
      </c>
      <c r="C6" s="21">
        <f>B6</f>
        <v>29.07</v>
      </c>
      <c r="D6" s="22"/>
    </row>
    <row r="7" spans="1:4" ht="13.5" thickBot="1" x14ac:dyDescent="0.25"/>
    <row r="8" spans="1:4" ht="13.5" thickBot="1" x14ac:dyDescent="0.25">
      <c r="D8" s="15">
        <f>SUM(B4:C7)</f>
        <v>107.94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43808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" x14ac:dyDescent="0.2">
      <c r="A14" s="12" t="s">
        <v>265</v>
      </c>
      <c r="B14" s="23">
        <v>29.32</v>
      </c>
      <c r="C14" s="16">
        <f>B14</f>
        <v>29.32</v>
      </c>
      <c r="D14" s="24"/>
    </row>
    <row r="15" spans="1:4" ht="15.75" thickBot="1" x14ac:dyDescent="0.25">
      <c r="A15" s="12" t="s">
        <v>271</v>
      </c>
      <c r="B15" s="20">
        <v>24.23</v>
      </c>
      <c r="C15" s="16">
        <f>B15</f>
        <v>24.23</v>
      </c>
      <c r="D15" s="22"/>
    </row>
    <row r="16" spans="1:4" ht="13.5" thickBot="1" x14ac:dyDescent="0.25"/>
    <row r="17" spans="1:4" ht="13.5" thickBot="1" x14ac:dyDescent="0.25">
      <c r="D17" s="15">
        <f>SUM(B13:C15)</f>
        <v>156.89999999999998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43815</v>
      </c>
    </row>
    <row r="22" spans="1:4" ht="15" x14ac:dyDescent="0.2">
      <c r="A22" s="12" t="s">
        <v>266</v>
      </c>
      <c r="B22" s="17">
        <v>24.9</v>
      </c>
      <c r="C22" s="18">
        <f>B22</f>
        <v>24.9</v>
      </c>
      <c r="D22" s="19"/>
    </row>
    <row r="23" spans="1:4" ht="15" x14ac:dyDescent="0.2">
      <c r="A23" s="12" t="s">
        <v>265</v>
      </c>
      <c r="B23" s="23">
        <v>29.24</v>
      </c>
      <c r="C23" s="16">
        <f>B23</f>
        <v>29.24</v>
      </c>
      <c r="D23" s="24"/>
    </row>
    <row r="24" spans="1:4" ht="15.75" thickBot="1" x14ac:dyDescent="0.25">
      <c r="A24" s="12" t="s">
        <v>271</v>
      </c>
      <c r="B24" s="20">
        <v>24.23</v>
      </c>
      <c r="C24" s="16">
        <f>B24</f>
        <v>24.23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156.73999999999998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43822</v>
      </c>
    </row>
    <row r="30" spans="1:4" ht="15" x14ac:dyDescent="0.2">
      <c r="A30" s="12" t="s">
        <v>266</v>
      </c>
      <c r="B30" s="17">
        <v>24.59</v>
      </c>
      <c r="C30" s="18">
        <f>B30</f>
        <v>24.59</v>
      </c>
      <c r="D30" s="19"/>
    </row>
    <row r="31" spans="1:4" ht="15" x14ac:dyDescent="0.2">
      <c r="A31" s="12" t="s">
        <v>265</v>
      </c>
      <c r="B31" s="23">
        <v>42.08</v>
      </c>
      <c r="C31" s="16">
        <f>B31</f>
        <v>42.08</v>
      </c>
      <c r="D31" s="24"/>
    </row>
    <row r="32" spans="1:4" ht="15.75" thickBot="1" x14ac:dyDescent="0.25">
      <c r="A32" s="12" t="s">
        <v>271</v>
      </c>
      <c r="B32" s="20">
        <v>24.23</v>
      </c>
      <c r="C32" s="16">
        <f>B32</f>
        <v>24.23</v>
      </c>
      <c r="D32" s="22"/>
    </row>
    <row r="33" spans="1:4" ht="15.75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181.79999999999995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2.75" customHeight="1" thickBot="1" x14ac:dyDescent="0.25">
      <c r="A37" s="25">
        <f>A29+7</f>
        <v>43829</v>
      </c>
    </row>
    <row r="38" spans="1:4" ht="15" x14ac:dyDescent="0.2">
      <c r="A38" s="12" t="s">
        <v>266</v>
      </c>
      <c r="B38" s="17">
        <v>24.9</v>
      </c>
      <c r="C38" s="18">
        <f>B38</f>
        <v>24.9</v>
      </c>
      <c r="D38" s="19"/>
    </row>
    <row r="39" spans="1:4" ht="15" x14ac:dyDescent="0.2">
      <c r="A39" s="12" t="s">
        <v>265</v>
      </c>
      <c r="B39" s="23">
        <v>17.079999999999998</v>
      </c>
      <c r="C39" s="16">
        <f>B39</f>
        <v>17.079999999999998</v>
      </c>
      <c r="D39" s="24"/>
    </row>
    <row r="40" spans="1:4" ht="15.75" thickBot="1" x14ac:dyDescent="0.25">
      <c r="A40" s="12" t="s">
        <v>271</v>
      </c>
      <c r="B40" s="20">
        <v>24.23</v>
      </c>
      <c r="C40" s="16">
        <f>B40</f>
        <v>24.23</v>
      </c>
      <c r="D40" s="22"/>
    </row>
    <row r="41" spans="1:4" ht="13.5" thickBot="1" x14ac:dyDescent="0.25"/>
    <row r="42" spans="1:4" ht="13.5" thickBot="1" x14ac:dyDescent="0.25">
      <c r="D42" s="15">
        <f>SUM(B37:C40)</f>
        <v>132.41999999999999</v>
      </c>
    </row>
    <row r="43" spans="1:4" ht="13.5" thickBot="1" x14ac:dyDescent="0.25"/>
    <row r="44" spans="1:4" ht="13.5" thickBot="1" x14ac:dyDescent="0.25">
      <c r="C44" s="14" t="s">
        <v>269</v>
      </c>
      <c r="D44" s="15">
        <f>D8+D17+D26+D34+D42</f>
        <v>735.79999999999984</v>
      </c>
    </row>
  </sheetData>
  <pageMargins left="0.7" right="0.7" top="0.75" bottom="0.75" header="0.3" footer="0.3"/>
  <pageSetup scale="96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0F74-5FFA-4374-8CE4-20EB9F4E70DE}">
  <sheetPr>
    <pageSetUpPr fitToPage="1"/>
  </sheetPr>
  <dimension ref="A1:D44"/>
  <sheetViews>
    <sheetView topLeftCell="A10" workbookViewId="0">
      <selection activeCell="A40" sqref="A40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43831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43836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" x14ac:dyDescent="0.2">
      <c r="A6" s="12" t="s">
        <v>265</v>
      </c>
      <c r="B6" s="23">
        <v>30.47</v>
      </c>
      <c r="C6" s="16">
        <f>B6</f>
        <v>30.47</v>
      </c>
      <c r="D6" s="24"/>
    </row>
    <row r="7" spans="1:4" ht="15.75" thickBot="1" x14ac:dyDescent="0.25">
      <c r="A7" s="12" t="s">
        <v>272</v>
      </c>
      <c r="B7" s="20">
        <v>24.23</v>
      </c>
      <c r="C7" s="16">
        <f>B7</f>
        <v>24.23</v>
      </c>
      <c r="D7" s="22"/>
    </row>
    <row r="8" spans="1:4" ht="13.5" thickBot="1" x14ac:dyDescent="0.25"/>
    <row r="9" spans="1:4" ht="13.5" thickBot="1" x14ac:dyDescent="0.25">
      <c r="D9" s="15">
        <f>SUM(B5:C7)</f>
        <v>159.19999999999999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43843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" x14ac:dyDescent="0.2">
      <c r="A14" s="12" t="s">
        <v>265</v>
      </c>
      <c r="B14" s="23">
        <v>28.24</v>
      </c>
      <c r="C14" s="16">
        <f>B14</f>
        <v>28.24</v>
      </c>
      <c r="D14" s="24"/>
    </row>
    <row r="15" spans="1:4" ht="15.75" thickBot="1" x14ac:dyDescent="0.25">
      <c r="A15" s="12" t="s">
        <v>272</v>
      </c>
      <c r="B15" s="20">
        <v>24.23</v>
      </c>
      <c r="C15" s="16">
        <f>B15</f>
        <v>24.23</v>
      </c>
      <c r="D15" s="22"/>
    </row>
    <row r="16" spans="1:4" ht="13.5" thickBot="1" x14ac:dyDescent="0.25"/>
    <row r="17" spans="1:4" ht="13.5" thickBot="1" x14ac:dyDescent="0.25">
      <c r="D17" s="15">
        <f>SUM(B13:C15)</f>
        <v>154.73999999999998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43850</v>
      </c>
    </row>
    <row r="22" spans="1:4" ht="15" x14ac:dyDescent="0.2">
      <c r="A22" s="12" t="s">
        <v>266</v>
      </c>
      <c r="B22" s="17">
        <v>24.9</v>
      </c>
      <c r="C22" s="18">
        <f>B22</f>
        <v>24.9</v>
      </c>
      <c r="D22" s="19"/>
    </row>
    <row r="23" spans="1:4" ht="15" x14ac:dyDescent="0.2">
      <c r="A23" s="12" t="s">
        <v>265</v>
      </c>
      <c r="B23" s="23">
        <v>29.07</v>
      </c>
      <c r="C23" s="16">
        <f>B23</f>
        <v>29.07</v>
      </c>
      <c r="D23" s="24"/>
    </row>
    <row r="24" spans="1:4" ht="15.75" thickBot="1" x14ac:dyDescent="0.25">
      <c r="A24" s="12" t="s">
        <v>272</v>
      </c>
      <c r="B24" s="20">
        <v>24.23</v>
      </c>
      <c r="C24" s="16">
        <f>B24</f>
        <v>24.23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156.39999999999998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43857</v>
      </c>
    </row>
    <row r="30" spans="1:4" ht="15" x14ac:dyDescent="0.2">
      <c r="A30" s="12" t="s">
        <v>266</v>
      </c>
      <c r="B30" s="17">
        <v>24.9</v>
      </c>
      <c r="C30" s="18">
        <f>B30</f>
        <v>24.9</v>
      </c>
      <c r="D30" s="19"/>
    </row>
    <row r="31" spans="1:4" ht="15" x14ac:dyDescent="0.2">
      <c r="A31" s="12" t="s">
        <v>265</v>
      </c>
      <c r="B31" s="23">
        <v>29.05</v>
      </c>
      <c r="C31" s="16">
        <f>B31</f>
        <v>29.05</v>
      </c>
      <c r="D31" s="24"/>
    </row>
    <row r="32" spans="1:4" ht="15.75" thickBot="1" x14ac:dyDescent="0.25">
      <c r="A32" s="12" t="s">
        <v>272</v>
      </c>
      <c r="B32" s="20">
        <v>24.23</v>
      </c>
      <c r="C32" s="16">
        <f>B32</f>
        <v>24.23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156.35999999999999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272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D9+D17+D26+D34+D42</f>
        <v>626.69999999999993</v>
      </c>
    </row>
  </sheetData>
  <pageMargins left="0.7" right="0.7" top="0.75" bottom="0.75" header="0.3" footer="0.3"/>
  <pageSetup scale="96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3E87-8743-4EC6-B636-03E64899C5D0}">
  <sheetPr>
    <pageSetUpPr fitToPage="1"/>
  </sheetPr>
  <dimension ref="A1:D44"/>
  <sheetViews>
    <sheetView topLeftCell="A13" workbookViewId="0">
      <selection activeCell="D45" sqref="D45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43862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43864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" x14ac:dyDescent="0.2">
      <c r="A6" s="12" t="s">
        <v>265</v>
      </c>
      <c r="B6" s="23">
        <v>29.07</v>
      </c>
      <c r="C6" s="16">
        <f>B6</f>
        <v>29.07</v>
      </c>
      <c r="D6" s="24"/>
    </row>
    <row r="7" spans="1:4" ht="15.75" thickBot="1" x14ac:dyDescent="0.25">
      <c r="A7" s="12" t="s">
        <v>272</v>
      </c>
      <c r="B7" s="20">
        <v>24.23</v>
      </c>
      <c r="C7" s="16">
        <f>B7</f>
        <v>24.23</v>
      </c>
      <c r="D7" s="22"/>
    </row>
    <row r="8" spans="1:4" ht="13.5" thickBot="1" x14ac:dyDescent="0.25"/>
    <row r="9" spans="1:4" ht="13.5" thickBot="1" x14ac:dyDescent="0.25">
      <c r="D9" s="15">
        <f>SUM(B5:C7)</f>
        <v>156.39999999999998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43871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" x14ac:dyDescent="0.2">
      <c r="A14" s="12" t="s">
        <v>265</v>
      </c>
      <c r="B14" s="23">
        <v>29.07</v>
      </c>
      <c r="C14" s="16">
        <f>B14</f>
        <v>29.07</v>
      </c>
      <c r="D14" s="24"/>
    </row>
    <row r="15" spans="1:4" ht="15.75" thickBot="1" x14ac:dyDescent="0.25">
      <c r="A15" s="12" t="s">
        <v>272</v>
      </c>
      <c r="B15" s="20">
        <v>24.23</v>
      </c>
      <c r="C15" s="16">
        <f>B15</f>
        <v>24.23</v>
      </c>
      <c r="D15" s="22"/>
    </row>
    <row r="16" spans="1:4" ht="13.5" thickBot="1" x14ac:dyDescent="0.25"/>
    <row r="17" spans="1:4" ht="13.5" thickBot="1" x14ac:dyDescent="0.25">
      <c r="D17" s="15">
        <f>SUM(B13:C15)</f>
        <v>156.39999999999998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43878</v>
      </c>
    </row>
    <row r="22" spans="1:4" ht="15" x14ac:dyDescent="0.2">
      <c r="A22" s="12" t="s">
        <v>266</v>
      </c>
      <c r="B22" s="17">
        <v>23.5</v>
      </c>
      <c r="C22" s="18">
        <f>B22</f>
        <v>23.5</v>
      </c>
      <c r="D22" s="19"/>
    </row>
    <row r="23" spans="1:4" ht="15" x14ac:dyDescent="0.2">
      <c r="A23" s="12" t="s">
        <v>265</v>
      </c>
      <c r="B23" s="23">
        <v>29.07</v>
      </c>
      <c r="C23" s="16">
        <f>B23</f>
        <v>29.07</v>
      </c>
      <c r="D23" s="24"/>
    </row>
    <row r="24" spans="1:4" ht="15.75" thickBot="1" x14ac:dyDescent="0.25">
      <c r="A24" s="12" t="s">
        <v>272</v>
      </c>
      <c r="B24" s="20">
        <v>24.23</v>
      </c>
      <c r="C24" s="16">
        <f>B24</f>
        <v>24.23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153.59999999999997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43885</v>
      </c>
    </row>
    <row r="30" spans="1:4" ht="15" x14ac:dyDescent="0.2">
      <c r="A30" s="12" t="s">
        <v>266</v>
      </c>
      <c r="B30" s="17">
        <v>24.9</v>
      </c>
      <c r="C30" s="18">
        <f>B30</f>
        <v>24.9</v>
      </c>
      <c r="D30" s="19"/>
    </row>
    <row r="31" spans="1:4" ht="15" x14ac:dyDescent="0.2">
      <c r="A31" s="12" t="s">
        <v>265</v>
      </c>
      <c r="B31" s="23">
        <v>29.45</v>
      </c>
      <c r="C31" s="16">
        <f>B31</f>
        <v>29.45</v>
      </c>
      <c r="D31" s="24"/>
    </row>
    <row r="32" spans="1:4" ht="15.75" thickBot="1" x14ac:dyDescent="0.25">
      <c r="A32" s="12" t="s">
        <v>272</v>
      </c>
      <c r="B32" s="20">
        <v>24.23</v>
      </c>
      <c r="C32" s="16">
        <f>B32</f>
        <v>24.23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157.16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D17+D26+D34+D9+D42</f>
        <v>623.55999999999995</v>
      </c>
    </row>
  </sheetData>
  <pageMargins left="0.7" right="0.7" top="0.75" bottom="0.75" header="0.3" footer="0.3"/>
  <pageSetup scale="96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73EE-8355-48FE-9257-96BFF86EC492}">
  <dimension ref="A1:D44"/>
  <sheetViews>
    <sheetView topLeftCell="A19" workbookViewId="0">
      <selection activeCell="D44" sqref="D44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43891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43892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" x14ac:dyDescent="0.2">
      <c r="A6" s="12" t="s">
        <v>265</v>
      </c>
      <c r="B6" s="23">
        <v>29.07</v>
      </c>
      <c r="C6" s="16">
        <f>B6</f>
        <v>29.07</v>
      </c>
      <c r="D6" s="24"/>
    </row>
    <row r="7" spans="1:4" ht="15.75" thickBot="1" x14ac:dyDescent="0.25">
      <c r="A7" s="12" t="s">
        <v>272</v>
      </c>
      <c r="B7" s="20">
        <v>24.23</v>
      </c>
      <c r="C7" s="16">
        <f>B7</f>
        <v>24.23</v>
      </c>
      <c r="D7" s="22"/>
    </row>
    <row r="8" spans="1:4" ht="13.5" thickBot="1" x14ac:dyDescent="0.25"/>
    <row r="9" spans="1:4" ht="13.5" thickBot="1" x14ac:dyDescent="0.25">
      <c r="D9" s="15">
        <f>SUM(B5:C7)</f>
        <v>156.39999999999998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43899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" x14ac:dyDescent="0.2">
      <c r="A14" s="12" t="s">
        <v>265</v>
      </c>
      <c r="B14" s="23">
        <v>29.07</v>
      </c>
      <c r="C14" s="16">
        <f>B14</f>
        <v>29.07</v>
      </c>
      <c r="D14" s="24"/>
    </row>
    <row r="15" spans="1:4" ht="15.75" thickBot="1" x14ac:dyDescent="0.25">
      <c r="A15" s="12" t="s">
        <v>272</v>
      </c>
      <c r="B15" s="20">
        <v>24.23</v>
      </c>
      <c r="C15" s="16">
        <f>B15</f>
        <v>24.23</v>
      </c>
      <c r="D15" s="22"/>
    </row>
    <row r="16" spans="1:4" ht="13.5" thickBot="1" x14ac:dyDescent="0.25"/>
    <row r="17" spans="1:4" ht="13.5" thickBot="1" x14ac:dyDescent="0.25">
      <c r="D17" s="15">
        <f>SUM(B13:C15)</f>
        <v>156.39999999999998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43906</v>
      </c>
    </row>
    <row r="22" spans="1:4" ht="15" x14ac:dyDescent="0.2">
      <c r="A22" s="12" t="s">
        <v>266</v>
      </c>
      <c r="B22" s="17">
        <v>24.28</v>
      </c>
      <c r="C22" s="18">
        <f>B22</f>
        <v>24.28</v>
      </c>
      <c r="D22" s="19"/>
    </row>
    <row r="23" spans="1:4" ht="15" x14ac:dyDescent="0.2">
      <c r="A23" s="12" t="s">
        <v>265</v>
      </c>
      <c r="B23" s="23">
        <v>29.07</v>
      </c>
      <c r="C23" s="16">
        <f>B23</f>
        <v>29.07</v>
      </c>
      <c r="D23" s="24"/>
    </row>
    <row r="24" spans="1:4" ht="15.75" thickBot="1" x14ac:dyDescent="0.25">
      <c r="A24" s="12" t="s">
        <v>272</v>
      </c>
      <c r="B24" s="20">
        <v>24.23</v>
      </c>
      <c r="C24" s="16">
        <f>B24</f>
        <v>24.23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155.15999999999997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43913</v>
      </c>
    </row>
    <row r="30" spans="1:4" ht="15" x14ac:dyDescent="0.2">
      <c r="A30" s="12" t="s">
        <v>266</v>
      </c>
      <c r="B30" s="17">
        <v>24.9</v>
      </c>
      <c r="C30" s="18">
        <f>B30</f>
        <v>24.9</v>
      </c>
      <c r="D30" s="19"/>
    </row>
    <row r="31" spans="1:4" ht="15" x14ac:dyDescent="0.2">
      <c r="A31" s="12" t="s">
        <v>265</v>
      </c>
      <c r="B31" s="23">
        <v>29.2</v>
      </c>
      <c r="C31" s="16">
        <f>B31</f>
        <v>29.2</v>
      </c>
      <c r="D31" s="24"/>
    </row>
    <row r="32" spans="1:4" ht="15.75" thickBot="1" x14ac:dyDescent="0.25">
      <c r="A32" s="12" t="s">
        <v>272</v>
      </c>
      <c r="B32" s="20">
        <v>24.23</v>
      </c>
      <c r="C32" s="16">
        <f>B32</f>
        <v>24.23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156.66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>
        <f>A29+7</f>
        <v>43920</v>
      </c>
    </row>
    <row r="38" spans="1:4" ht="15" x14ac:dyDescent="0.2">
      <c r="A38" s="12" t="s">
        <v>266</v>
      </c>
      <c r="B38" s="17">
        <v>24.9</v>
      </c>
      <c r="C38" s="18">
        <f>B38</f>
        <v>24.9</v>
      </c>
      <c r="D38" s="19"/>
    </row>
    <row r="39" spans="1:4" ht="15" x14ac:dyDescent="0.2">
      <c r="A39" s="12" t="s">
        <v>265</v>
      </c>
      <c r="B39" s="23">
        <v>29.07</v>
      </c>
      <c r="C39" s="16">
        <f>B39</f>
        <v>29.07</v>
      </c>
      <c r="D39" s="24"/>
    </row>
    <row r="40" spans="1:4" ht="15.75" thickBot="1" x14ac:dyDescent="0.25">
      <c r="A40" s="12" t="s">
        <v>271</v>
      </c>
      <c r="B40" s="20">
        <v>24.23</v>
      </c>
      <c r="C40" s="16">
        <f>B40</f>
        <v>24.23</v>
      </c>
      <c r="D40" s="22"/>
    </row>
    <row r="41" spans="1:4" ht="13.5" thickBot="1" x14ac:dyDescent="0.25"/>
    <row r="42" spans="1:4" ht="13.5" thickBot="1" x14ac:dyDescent="0.25">
      <c r="D42" s="15">
        <f>SUM(B37:C40)</f>
        <v>156.39999999999998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781.01999999999987</v>
      </c>
    </row>
  </sheetData>
  <pageMargins left="0.7" right="0.7" top="0.75" bottom="0.75" header="0.3" footer="0.3"/>
  <pageSetup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3C97-E6A8-4F5F-AF4F-A86AD9FBB552}">
  <sheetPr>
    <pageSetUpPr fitToPage="1"/>
  </sheetPr>
  <dimension ref="A1:D44"/>
  <sheetViews>
    <sheetView topLeftCell="A19" workbookViewId="0">
      <selection activeCell="D34" sqref="D1:D34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43922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43927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" x14ac:dyDescent="0.2">
      <c r="A6" s="12" t="s">
        <v>265</v>
      </c>
      <c r="B6" s="23">
        <v>30.09</v>
      </c>
      <c r="C6" s="16">
        <f>B6</f>
        <v>30.09</v>
      </c>
      <c r="D6" s="24"/>
    </row>
    <row r="7" spans="1:4" ht="15.75" thickBot="1" x14ac:dyDescent="0.25">
      <c r="A7" s="12" t="s">
        <v>272</v>
      </c>
      <c r="B7" s="20">
        <v>24.23</v>
      </c>
      <c r="C7" s="16">
        <f>B7</f>
        <v>24.23</v>
      </c>
      <c r="D7" s="22"/>
    </row>
    <row r="8" spans="1:4" ht="13.5" thickBot="1" x14ac:dyDescent="0.25"/>
    <row r="9" spans="1:4" ht="13.5" thickBot="1" x14ac:dyDescent="0.25">
      <c r="D9" s="15">
        <f>SUM(B5:C7)</f>
        <v>158.44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43934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" x14ac:dyDescent="0.2">
      <c r="A14" s="12" t="s">
        <v>265</v>
      </c>
      <c r="B14" s="23">
        <v>29.2</v>
      </c>
      <c r="C14" s="16">
        <f>B14</f>
        <v>29.2</v>
      </c>
      <c r="D14" s="24"/>
    </row>
    <row r="15" spans="1:4" ht="15.75" thickBot="1" x14ac:dyDescent="0.25">
      <c r="A15" s="12" t="s">
        <v>272</v>
      </c>
      <c r="B15" s="20">
        <v>24.23</v>
      </c>
      <c r="C15" s="16">
        <f>B15</f>
        <v>24.23</v>
      </c>
      <c r="D15" s="22"/>
    </row>
    <row r="16" spans="1:4" ht="13.5" thickBot="1" x14ac:dyDescent="0.25"/>
    <row r="17" spans="1:4" ht="13.5" thickBot="1" x14ac:dyDescent="0.25">
      <c r="D17" s="15">
        <f>SUM(B13:C15)</f>
        <v>156.66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43941</v>
      </c>
    </row>
    <row r="22" spans="1:4" ht="15" x14ac:dyDescent="0.2">
      <c r="A22" s="12" t="s">
        <v>266</v>
      </c>
      <c r="B22" s="17">
        <v>24.9</v>
      </c>
      <c r="C22" s="18">
        <f>B22</f>
        <v>24.9</v>
      </c>
      <c r="D22" s="19"/>
    </row>
    <row r="23" spans="1:4" ht="15" x14ac:dyDescent="0.2">
      <c r="A23" s="12" t="s">
        <v>265</v>
      </c>
      <c r="B23" s="23">
        <v>29.07</v>
      </c>
      <c r="C23" s="16">
        <f>B23</f>
        <v>29.07</v>
      </c>
      <c r="D23" s="24"/>
    </row>
    <row r="24" spans="1:4" ht="15.75" thickBot="1" x14ac:dyDescent="0.25">
      <c r="A24" s="12" t="s">
        <v>272</v>
      </c>
      <c r="B24" s="20">
        <v>24.23</v>
      </c>
      <c r="C24" s="16">
        <f>B24</f>
        <v>24.23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156.39999999999998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43948</v>
      </c>
    </row>
    <row r="30" spans="1:4" ht="15" x14ac:dyDescent="0.2">
      <c r="A30" s="12" t="s">
        <v>266</v>
      </c>
      <c r="B30" s="17">
        <v>24.9</v>
      </c>
      <c r="C30" s="18">
        <f>B30</f>
        <v>24.9</v>
      </c>
      <c r="D30" s="19"/>
    </row>
    <row r="31" spans="1:4" ht="15" x14ac:dyDescent="0.2">
      <c r="A31" s="12" t="s">
        <v>265</v>
      </c>
      <c r="B31" s="23">
        <v>29.9</v>
      </c>
      <c r="C31" s="16">
        <f>B31</f>
        <v>29.9</v>
      </c>
      <c r="D31" s="24"/>
    </row>
    <row r="32" spans="1:4" ht="15.75" thickBot="1" x14ac:dyDescent="0.25">
      <c r="A32" s="12" t="s">
        <v>272</v>
      </c>
      <c r="B32" s="20">
        <v>24.23</v>
      </c>
      <c r="C32" s="16">
        <f>B32</f>
        <v>24.23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158.05999999999997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>
        <f>A29+7</f>
        <v>43955</v>
      </c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629.55999999999995</v>
      </c>
    </row>
  </sheetData>
  <pageMargins left="0.7" right="0.7" top="0.75" bottom="0.75" header="0.3" footer="0.3"/>
  <pageSetup scale="96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C739-CA9C-48EC-98B0-58624D3915D8}">
  <sheetPr>
    <pageSetUpPr fitToPage="1"/>
  </sheetPr>
  <dimension ref="A1:D44"/>
  <sheetViews>
    <sheetView topLeftCell="A16" workbookViewId="0">
      <selection activeCell="B33" sqref="B3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43952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43955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" x14ac:dyDescent="0.2">
      <c r="A6" s="12" t="s">
        <v>265</v>
      </c>
      <c r="B6" s="23">
        <v>30.28</v>
      </c>
      <c r="C6" s="16">
        <f>B6</f>
        <v>30.28</v>
      </c>
      <c r="D6" s="24"/>
    </row>
    <row r="7" spans="1:4" ht="15.75" thickBot="1" x14ac:dyDescent="0.25">
      <c r="A7" s="12" t="s">
        <v>272</v>
      </c>
      <c r="B7" s="20">
        <v>24.23</v>
      </c>
      <c r="C7" s="16">
        <f>B7</f>
        <v>24.23</v>
      </c>
      <c r="D7" s="22"/>
    </row>
    <row r="8" spans="1:4" ht="13.5" thickBot="1" x14ac:dyDescent="0.25"/>
    <row r="9" spans="1:4" ht="13.5" thickBot="1" x14ac:dyDescent="0.25">
      <c r="D9" s="15">
        <f>SUM(B5:C7)</f>
        <v>158.82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43962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" x14ac:dyDescent="0.2">
      <c r="A14" s="12" t="s">
        <v>265</v>
      </c>
      <c r="B14" s="23">
        <v>30.6</v>
      </c>
      <c r="C14" s="16">
        <f>B14</f>
        <v>30.6</v>
      </c>
      <c r="D14" s="24"/>
    </row>
    <row r="15" spans="1:4" ht="15.75" thickBot="1" x14ac:dyDescent="0.25">
      <c r="A15" s="12" t="s">
        <v>272</v>
      </c>
      <c r="B15" s="20">
        <v>24.23</v>
      </c>
      <c r="C15" s="16">
        <f>B15</f>
        <v>24.23</v>
      </c>
      <c r="D15" s="22"/>
    </row>
    <row r="16" spans="1:4" ht="13.5" thickBot="1" x14ac:dyDescent="0.25"/>
    <row r="17" spans="1:4" ht="13.5" thickBot="1" x14ac:dyDescent="0.25">
      <c r="D17" s="15">
        <f>SUM(B13:C15)</f>
        <v>159.45999999999998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43969</v>
      </c>
    </row>
    <row r="22" spans="1:4" ht="15" x14ac:dyDescent="0.2">
      <c r="A22" s="12" t="s">
        <v>266</v>
      </c>
      <c r="B22" s="17">
        <v>24.9</v>
      </c>
      <c r="C22" s="18">
        <f>B22</f>
        <v>24.9</v>
      </c>
      <c r="D22" s="19"/>
    </row>
    <row r="23" spans="1:4" ht="15" x14ac:dyDescent="0.2">
      <c r="A23" s="12" t="s">
        <v>265</v>
      </c>
      <c r="B23" s="23">
        <v>30.16</v>
      </c>
      <c r="C23" s="16">
        <f>B23</f>
        <v>30.16</v>
      </c>
      <c r="D23" s="24"/>
    </row>
    <row r="24" spans="1:4" ht="15.75" thickBot="1" x14ac:dyDescent="0.25">
      <c r="A24" s="12" t="s">
        <v>272</v>
      </c>
      <c r="B24" s="20">
        <v>24.23</v>
      </c>
      <c r="C24" s="16">
        <f>B24</f>
        <v>24.23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158.57999999999998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43976</v>
      </c>
    </row>
    <row r="30" spans="1:4" ht="15" x14ac:dyDescent="0.2">
      <c r="A30" s="12" t="s">
        <v>266</v>
      </c>
      <c r="B30" s="17">
        <v>23.03</v>
      </c>
      <c r="C30" s="18">
        <f>B30</f>
        <v>23.03</v>
      </c>
      <c r="D30" s="19"/>
    </row>
    <row r="31" spans="1:4" ht="15" x14ac:dyDescent="0.2">
      <c r="A31" s="12" t="s">
        <v>265</v>
      </c>
      <c r="B31" s="23">
        <v>30.35</v>
      </c>
      <c r="C31" s="16">
        <f>B31</f>
        <v>30.35</v>
      </c>
      <c r="D31" s="24"/>
    </row>
    <row r="32" spans="1:4" ht="15.75" thickBot="1" x14ac:dyDescent="0.25">
      <c r="A32" s="12" t="s">
        <v>272</v>
      </c>
      <c r="B32" s="20">
        <v>24.23</v>
      </c>
      <c r="C32" s="16">
        <f>B32</f>
        <v>24.23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155.21999999999997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>
        <f>A29+7</f>
        <v>43983</v>
      </c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632.07999999999993</v>
      </c>
    </row>
  </sheetData>
  <pageMargins left="0.7" right="0.7" top="0.75" bottom="0.75" header="0.3" footer="0.3"/>
  <pageSetup scale="96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EF28-D610-48E3-9CDA-611E537AFB20}">
  <sheetPr>
    <pageSetUpPr fitToPage="1"/>
  </sheetPr>
  <dimension ref="A1:D44"/>
  <sheetViews>
    <sheetView topLeftCell="A13" workbookViewId="0">
      <selection activeCell="B41" sqref="B41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43983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43983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" x14ac:dyDescent="0.2">
      <c r="A6" s="12" t="s">
        <v>265</v>
      </c>
      <c r="B6" s="23">
        <v>30.22</v>
      </c>
      <c r="C6" s="16">
        <f>B6</f>
        <v>30.22</v>
      </c>
      <c r="D6" s="24"/>
    </row>
    <row r="7" spans="1:4" ht="15.75" thickBot="1" x14ac:dyDescent="0.25">
      <c r="A7" s="12" t="s">
        <v>272</v>
      </c>
      <c r="B7" s="20">
        <v>24.23</v>
      </c>
      <c r="C7" s="16">
        <f>B7</f>
        <v>24.23</v>
      </c>
      <c r="D7" s="22"/>
    </row>
    <row r="8" spans="1:4" ht="13.5" thickBot="1" x14ac:dyDescent="0.25"/>
    <row r="9" spans="1:4" ht="13.5" thickBot="1" x14ac:dyDescent="0.25">
      <c r="D9" s="15">
        <f>SUM(B5:C7)</f>
        <v>158.69999999999999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43990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" x14ac:dyDescent="0.2">
      <c r="A14" s="12" t="s">
        <v>265</v>
      </c>
      <c r="B14" s="23">
        <v>29.07</v>
      </c>
      <c r="C14" s="16">
        <f>B14</f>
        <v>29.07</v>
      </c>
      <c r="D14" s="24"/>
    </row>
    <row r="15" spans="1:4" ht="15.75" thickBot="1" x14ac:dyDescent="0.25">
      <c r="A15" s="12" t="s">
        <v>272</v>
      </c>
      <c r="B15" s="20">
        <v>24.23</v>
      </c>
      <c r="C15" s="16">
        <f>B15</f>
        <v>24.23</v>
      </c>
      <c r="D15" s="22"/>
    </row>
    <row r="16" spans="1:4" ht="13.5" thickBot="1" x14ac:dyDescent="0.25"/>
    <row r="17" spans="1:4" ht="13.5" thickBot="1" x14ac:dyDescent="0.25">
      <c r="D17" s="15">
        <f>SUM(B13:C15)</f>
        <v>156.39999999999998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43997</v>
      </c>
    </row>
    <row r="22" spans="1:4" ht="15" x14ac:dyDescent="0.2">
      <c r="A22" s="12" t="s">
        <v>266</v>
      </c>
      <c r="B22" s="17">
        <v>23.66</v>
      </c>
      <c r="C22" s="18">
        <f>B22</f>
        <v>23.66</v>
      </c>
      <c r="D22" s="19"/>
    </row>
    <row r="23" spans="1:4" ht="15" x14ac:dyDescent="0.2">
      <c r="A23" s="12" t="s">
        <v>265</v>
      </c>
      <c r="B23" s="23">
        <v>29.07</v>
      </c>
      <c r="C23" s="16">
        <f>B23</f>
        <v>29.07</v>
      </c>
      <c r="D23" s="24"/>
    </row>
    <row r="24" spans="1:4" ht="15.75" thickBot="1" x14ac:dyDescent="0.25">
      <c r="A24" s="12" t="s">
        <v>272</v>
      </c>
      <c r="B24" s="20">
        <v>24.23</v>
      </c>
      <c r="C24" s="16">
        <f>B24</f>
        <v>24.23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153.91999999999999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44004</v>
      </c>
    </row>
    <row r="30" spans="1:4" ht="15" x14ac:dyDescent="0.2">
      <c r="A30" s="12" t="s">
        <v>266</v>
      </c>
      <c r="B30" s="17">
        <v>24.9</v>
      </c>
      <c r="C30" s="18">
        <f>B30</f>
        <v>24.9</v>
      </c>
      <c r="D30" s="19"/>
    </row>
    <row r="31" spans="1:4" ht="15" x14ac:dyDescent="0.2">
      <c r="A31" s="12" t="s">
        <v>265</v>
      </c>
      <c r="B31" s="23">
        <v>30.41</v>
      </c>
      <c r="C31" s="16">
        <f>B31</f>
        <v>30.41</v>
      </c>
      <c r="D31" s="24"/>
    </row>
    <row r="32" spans="1:4" ht="15.75" thickBot="1" x14ac:dyDescent="0.25">
      <c r="A32" s="12" t="s">
        <v>272</v>
      </c>
      <c r="B32" s="20">
        <v>24.23</v>
      </c>
      <c r="C32" s="16">
        <f>B32</f>
        <v>24.23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159.07999999999998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>
        <f>A29+7</f>
        <v>44011</v>
      </c>
    </row>
    <row r="38" spans="1:4" ht="15" x14ac:dyDescent="0.2">
      <c r="A38" s="12" t="s">
        <v>266</v>
      </c>
      <c r="B38" s="17">
        <v>22.41</v>
      </c>
      <c r="C38" s="18">
        <f>B38</f>
        <v>22.41</v>
      </c>
      <c r="D38" s="19"/>
    </row>
    <row r="39" spans="1:4" ht="15" x14ac:dyDescent="0.2">
      <c r="A39" s="12" t="s">
        <v>265</v>
      </c>
      <c r="B39" s="23">
        <v>30.03</v>
      </c>
      <c r="C39" s="16">
        <f>B39</f>
        <v>30.03</v>
      </c>
      <c r="D39" s="24"/>
    </row>
    <row r="40" spans="1:4" ht="15.75" thickBot="1" x14ac:dyDescent="0.25">
      <c r="A40" s="12" t="s">
        <v>271</v>
      </c>
      <c r="B40" s="20">
        <v>24.23</v>
      </c>
      <c r="C40" s="16">
        <f>B40</f>
        <v>24.23</v>
      </c>
      <c r="D40" s="22"/>
    </row>
    <row r="41" spans="1:4" ht="13.5" thickBot="1" x14ac:dyDescent="0.25"/>
    <row r="42" spans="1:4" ht="13.5" thickBot="1" x14ac:dyDescent="0.25">
      <c r="D42" s="15">
        <f>SUM(B37:C40)</f>
        <v>153.33999999999997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781.43999999999983</v>
      </c>
    </row>
  </sheetData>
  <pageMargins left="0.7" right="0.7" top="0.75" bottom="0.75" header="0.3" footer="0.3"/>
  <pageSetup scale="96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F444-0C71-4928-85F2-5A511D10D51D}">
  <sheetPr>
    <pageSetUpPr fitToPage="1"/>
  </sheetPr>
  <dimension ref="A1:D44"/>
  <sheetViews>
    <sheetView topLeftCell="A19" workbookViewId="0">
      <selection activeCell="B33" sqref="B3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44013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44018</v>
      </c>
    </row>
    <row r="5" spans="1:4" ht="15" x14ac:dyDescent="0.2">
      <c r="A5" s="12" t="s">
        <v>266</v>
      </c>
      <c r="B5" s="17">
        <v>24.9</v>
      </c>
      <c r="C5" s="18">
        <f>B5</f>
        <v>24.9</v>
      </c>
      <c r="D5" s="19"/>
    </row>
    <row r="6" spans="1:4" ht="15" x14ac:dyDescent="0.2">
      <c r="A6" s="12" t="s">
        <v>265</v>
      </c>
      <c r="B6" s="23">
        <v>30.22</v>
      </c>
      <c r="C6" s="16">
        <f>B6</f>
        <v>30.22</v>
      </c>
      <c r="D6" s="24"/>
    </row>
    <row r="7" spans="1:4" ht="15.75" thickBot="1" x14ac:dyDescent="0.25">
      <c r="A7" s="12" t="s">
        <v>272</v>
      </c>
      <c r="B7" s="20">
        <v>24.23</v>
      </c>
      <c r="C7" s="16">
        <f>B7</f>
        <v>24.23</v>
      </c>
      <c r="D7" s="22"/>
    </row>
    <row r="8" spans="1:4" ht="13.5" thickBot="1" x14ac:dyDescent="0.25"/>
    <row r="9" spans="1:4" ht="13.5" thickBot="1" x14ac:dyDescent="0.25">
      <c r="D9" s="15">
        <f>SUM(B5:C7)</f>
        <v>158.69999999999999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44025</v>
      </c>
    </row>
    <row r="13" spans="1:4" ht="15" x14ac:dyDescent="0.2">
      <c r="A13" s="12" t="s">
        <v>266</v>
      </c>
      <c r="B13" s="17">
        <v>24.9</v>
      </c>
      <c r="C13" s="18">
        <f>B13</f>
        <v>24.9</v>
      </c>
      <c r="D13" s="19"/>
    </row>
    <row r="14" spans="1:4" ht="15" x14ac:dyDescent="0.2">
      <c r="A14" s="12" t="s">
        <v>265</v>
      </c>
      <c r="B14" s="23">
        <v>29.64</v>
      </c>
      <c r="C14" s="16">
        <f>B14</f>
        <v>29.64</v>
      </c>
      <c r="D14" s="24"/>
    </row>
    <row r="15" spans="1:4" ht="15.75" thickBot="1" x14ac:dyDescent="0.25">
      <c r="A15" s="12" t="s">
        <v>272</v>
      </c>
      <c r="B15" s="20">
        <v>24.23</v>
      </c>
      <c r="C15" s="16">
        <f>B15</f>
        <v>24.23</v>
      </c>
      <c r="D15" s="22"/>
    </row>
    <row r="16" spans="1:4" ht="13.5" thickBot="1" x14ac:dyDescent="0.25"/>
    <row r="17" spans="1:4" ht="13.5" thickBot="1" x14ac:dyDescent="0.25">
      <c r="D17" s="15">
        <f>SUM(B13:C15)</f>
        <v>157.54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44032</v>
      </c>
    </row>
    <row r="22" spans="1:4" ht="15" x14ac:dyDescent="0.2">
      <c r="A22" s="12" t="s">
        <v>266</v>
      </c>
      <c r="B22" s="17">
        <v>24.9</v>
      </c>
      <c r="C22" s="18">
        <f>B22</f>
        <v>24.9</v>
      </c>
      <c r="D22" s="19"/>
    </row>
    <row r="23" spans="1:4" ht="15" x14ac:dyDescent="0.2">
      <c r="A23" s="12" t="s">
        <v>265</v>
      </c>
      <c r="B23" s="23">
        <v>30.6</v>
      </c>
      <c r="C23" s="16">
        <f>B23</f>
        <v>30.6</v>
      </c>
      <c r="D23" s="24"/>
    </row>
    <row r="24" spans="1:4" ht="15.75" thickBot="1" x14ac:dyDescent="0.25">
      <c r="A24" s="12" t="s">
        <v>272</v>
      </c>
      <c r="B24" s="20">
        <v>24.23</v>
      </c>
      <c r="C24" s="16">
        <f>B24</f>
        <v>24.23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159.45999999999998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44039</v>
      </c>
    </row>
    <row r="30" spans="1:4" ht="15" x14ac:dyDescent="0.2">
      <c r="A30" s="12" t="s">
        <v>266</v>
      </c>
      <c r="B30" s="17">
        <v>24.9</v>
      </c>
      <c r="C30" s="18">
        <f>B30</f>
        <v>24.9</v>
      </c>
      <c r="D30" s="19"/>
    </row>
    <row r="31" spans="1:4" ht="15" x14ac:dyDescent="0.2">
      <c r="A31" s="12" t="s">
        <v>265</v>
      </c>
      <c r="B31" s="23">
        <v>29.07</v>
      </c>
      <c r="C31" s="16">
        <f>B31</f>
        <v>29.07</v>
      </c>
      <c r="D31" s="24"/>
    </row>
    <row r="32" spans="1:4" ht="15.75" thickBot="1" x14ac:dyDescent="0.25">
      <c r="A32" s="12" t="s">
        <v>272</v>
      </c>
      <c r="B32" s="20">
        <v>24.23</v>
      </c>
      <c r="C32" s="16">
        <f>B32</f>
        <v>24.23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156.39999999999998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>
        <f>A29+7</f>
        <v>44046</v>
      </c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632.09999999999991</v>
      </c>
    </row>
  </sheetData>
  <pageMargins left="0.7" right="0.7" top="0.75" bottom="0.75" header="0.3" footer="0.3"/>
  <pageSetup scale="96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AF63-F29F-482B-A618-DCDD75568721}">
  <sheetPr>
    <pageSetUpPr fitToPage="1"/>
  </sheetPr>
  <dimension ref="A1:D44"/>
  <sheetViews>
    <sheetView topLeftCell="A22" workbookViewId="0">
      <selection activeCell="B41" sqref="B41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44044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44046</v>
      </c>
    </row>
    <row r="5" spans="1:4" ht="15" x14ac:dyDescent="0.2">
      <c r="A5" s="12" t="s">
        <v>266</v>
      </c>
      <c r="B5" s="17">
        <v>25.4</v>
      </c>
      <c r="C5" s="18">
        <f>B5</f>
        <v>25.4</v>
      </c>
      <c r="D5" s="19"/>
    </row>
    <row r="6" spans="1:4" ht="15" x14ac:dyDescent="0.2">
      <c r="A6" s="12" t="s">
        <v>265</v>
      </c>
      <c r="B6" s="23">
        <v>30.43</v>
      </c>
      <c r="C6" s="16">
        <f>B6</f>
        <v>30.43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161.1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44053</v>
      </c>
    </row>
    <row r="13" spans="1:4" ht="15" x14ac:dyDescent="0.2">
      <c r="A13" s="12" t="s">
        <v>266</v>
      </c>
      <c r="B13" s="17">
        <v>25.4</v>
      </c>
      <c r="C13" s="18">
        <f>B13</f>
        <v>25.4</v>
      </c>
      <c r="D13" s="19"/>
    </row>
    <row r="14" spans="1:4" ht="15" x14ac:dyDescent="0.2">
      <c r="A14" s="12" t="s">
        <v>265</v>
      </c>
      <c r="B14" s="23">
        <v>29.65</v>
      </c>
      <c r="C14" s="16">
        <f>B14</f>
        <v>29.65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159.54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44060</v>
      </c>
    </row>
    <row r="22" spans="1:4" ht="15" x14ac:dyDescent="0.2">
      <c r="A22" s="12" t="s">
        <v>266</v>
      </c>
      <c r="B22" s="17">
        <v>25.4</v>
      </c>
      <c r="C22" s="18">
        <f>B22</f>
        <v>25.4</v>
      </c>
      <c r="D22" s="19"/>
    </row>
    <row r="23" spans="1:4" ht="15" x14ac:dyDescent="0.2">
      <c r="A23" s="12" t="s">
        <v>265</v>
      </c>
      <c r="B23" s="23">
        <v>29.65</v>
      </c>
      <c r="C23" s="16">
        <f>B23</f>
        <v>29.65</v>
      </c>
      <c r="D23" s="24"/>
    </row>
    <row r="24" spans="1:4" ht="15.75" thickBot="1" x14ac:dyDescent="0.25">
      <c r="A24" s="12" t="s">
        <v>272</v>
      </c>
      <c r="B24" s="20">
        <v>27.42</v>
      </c>
      <c r="C24" s="16">
        <f>B24</f>
        <v>27.42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164.94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44067</v>
      </c>
    </row>
    <row r="30" spans="1:4" ht="15" x14ac:dyDescent="0.2">
      <c r="A30" s="12" t="s">
        <v>266</v>
      </c>
      <c r="B30" s="17">
        <v>25.19</v>
      </c>
      <c r="C30" s="18">
        <f>B30</f>
        <v>25.19</v>
      </c>
      <c r="D30" s="19"/>
    </row>
    <row r="31" spans="1:4" ht="15" x14ac:dyDescent="0.2">
      <c r="A31" s="12" t="s">
        <v>265</v>
      </c>
      <c r="B31" s="23">
        <v>31.02</v>
      </c>
      <c r="C31" s="16">
        <f>B31</f>
        <v>31.02</v>
      </c>
      <c r="D31" s="24"/>
    </row>
    <row r="32" spans="1:4" ht="15.75" thickBot="1" x14ac:dyDescent="0.25">
      <c r="A32" s="12" t="s">
        <v>272</v>
      </c>
      <c r="B32" s="20">
        <v>27.42</v>
      </c>
      <c r="C32" s="16">
        <f>B32</f>
        <v>27.42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167.26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>
        <f>A29+7</f>
        <v>44074</v>
      </c>
    </row>
    <row r="38" spans="1:4" ht="15" x14ac:dyDescent="0.2">
      <c r="A38" s="12" t="s">
        <v>266</v>
      </c>
      <c r="B38" s="17">
        <v>25.4</v>
      </c>
      <c r="C38" s="18">
        <f>B38</f>
        <v>25.4</v>
      </c>
      <c r="D38" s="19"/>
    </row>
    <row r="39" spans="1:4" ht="15" x14ac:dyDescent="0.2">
      <c r="A39" s="12" t="s">
        <v>265</v>
      </c>
      <c r="B39" s="23">
        <v>29.78</v>
      </c>
      <c r="C39" s="16">
        <f>B39</f>
        <v>29.78</v>
      </c>
      <c r="D39" s="24"/>
    </row>
    <row r="40" spans="1:4" ht="15.75" thickBot="1" x14ac:dyDescent="0.25">
      <c r="A40" s="12" t="s">
        <v>271</v>
      </c>
      <c r="B40" s="20">
        <v>24.72</v>
      </c>
      <c r="C40" s="16">
        <f>B40</f>
        <v>24.72</v>
      </c>
      <c r="D40" s="22"/>
    </row>
    <row r="41" spans="1:4" ht="13.5" thickBot="1" x14ac:dyDescent="0.25"/>
    <row r="42" spans="1:4" ht="13.5" thickBot="1" x14ac:dyDescent="0.25">
      <c r="D42" s="15">
        <f>SUM(B37:C40)</f>
        <v>159.79999999999998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812.64</v>
      </c>
    </row>
  </sheetData>
  <pageMargins left="0.7" right="0.7" top="0.75" bottom="0.75" header="0.3" footer="0.3"/>
  <pageSetup scale="96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A8EC-F057-4D0D-A6FA-7867567A2D29}">
  <sheetPr>
    <pageSetUpPr fitToPage="1"/>
  </sheetPr>
  <dimension ref="A1:D44"/>
  <sheetViews>
    <sheetView topLeftCell="A19" workbookViewId="0">
      <selection activeCell="B33" sqref="B3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44075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44081</v>
      </c>
    </row>
    <row r="5" spans="1:4" ht="15" x14ac:dyDescent="0.2">
      <c r="A5" s="12" t="s">
        <v>266</v>
      </c>
      <c r="B5" s="17">
        <v>25.4</v>
      </c>
      <c r="C5" s="18">
        <f>B5</f>
        <v>25.4</v>
      </c>
      <c r="D5" s="19"/>
    </row>
    <row r="6" spans="1:4" ht="15" x14ac:dyDescent="0.2">
      <c r="A6" s="12" t="s">
        <v>265</v>
      </c>
      <c r="B6" s="23">
        <v>29.65</v>
      </c>
      <c r="C6" s="16">
        <f>B6</f>
        <v>29.65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159.54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44088</v>
      </c>
    </row>
    <row r="13" spans="1:4" ht="15" x14ac:dyDescent="0.2">
      <c r="A13" s="12" t="s">
        <v>266</v>
      </c>
      <c r="B13" s="17">
        <v>25.4</v>
      </c>
      <c r="C13" s="18">
        <f>B13</f>
        <v>25.4</v>
      </c>
      <c r="D13" s="19"/>
    </row>
    <row r="14" spans="1:4" ht="15" x14ac:dyDescent="0.2">
      <c r="A14" s="12" t="s">
        <v>265</v>
      </c>
      <c r="B14" s="23">
        <v>29.65</v>
      </c>
      <c r="C14" s="16">
        <f>B14</f>
        <v>29.65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159.54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44095</v>
      </c>
    </row>
    <row r="22" spans="1:4" ht="15" x14ac:dyDescent="0.2">
      <c r="A22" s="12" t="s">
        <v>266</v>
      </c>
      <c r="B22" s="17">
        <v>25.34</v>
      </c>
      <c r="C22" s="18">
        <f>B22</f>
        <v>25.34</v>
      </c>
      <c r="D22" s="19"/>
    </row>
    <row r="23" spans="1:4" ht="15" x14ac:dyDescent="0.2">
      <c r="A23" s="12" t="s">
        <v>265</v>
      </c>
      <c r="B23" s="23">
        <v>29.65</v>
      </c>
      <c r="C23" s="16">
        <f>B23</f>
        <v>29.65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159.41999999999999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44102</v>
      </c>
    </row>
    <row r="30" spans="1:4" ht="15" x14ac:dyDescent="0.2">
      <c r="A30" s="12" t="s">
        <v>266</v>
      </c>
      <c r="B30" s="17">
        <v>25.4</v>
      </c>
      <c r="C30" s="18">
        <f>B30</f>
        <v>25.4</v>
      </c>
      <c r="D30" s="19"/>
    </row>
    <row r="31" spans="1:4" ht="15" x14ac:dyDescent="0.2">
      <c r="A31" s="12" t="s">
        <v>265</v>
      </c>
      <c r="B31" s="23">
        <v>29.65</v>
      </c>
      <c r="C31" s="16">
        <f>B31</f>
        <v>29.65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159.54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>
        <f>A29+7</f>
        <v>44109</v>
      </c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638.04</v>
      </c>
    </row>
  </sheetData>
  <pageMargins left="0.7" right="0.7" top="0.75" bottom="0.75" header="0.3" footer="0.3"/>
  <pageSetup scale="96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4E64-E889-443D-853F-060CEAE4EF05}">
  <sheetPr>
    <pageSetUpPr fitToPage="1"/>
  </sheetPr>
  <dimension ref="A1:D44"/>
  <sheetViews>
    <sheetView topLeftCell="A22" workbookViewId="0">
      <selection activeCell="A37" sqref="A37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44105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44109</v>
      </c>
    </row>
    <row r="5" spans="1:4" ht="15" x14ac:dyDescent="0.2">
      <c r="A5" s="12" t="s">
        <v>266</v>
      </c>
      <c r="B5" s="17">
        <v>25.4</v>
      </c>
      <c r="C5" s="18">
        <f>B5</f>
        <v>25.4</v>
      </c>
      <c r="D5" s="19"/>
    </row>
    <row r="6" spans="1:4" ht="15" x14ac:dyDescent="0.2">
      <c r="A6" s="12" t="s">
        <v>265</v>
      </c>
      <c r="B6" s="23">
        <v>29.65</v>
      </c>
      <c r="C6" s="16">
        <f>B6</f>
        <v>29.65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159.54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44116</v>
      </c>
    </row>
    <row r="13" spans="1:4" ht="15" x14ac:dyDescent="0.2">
      <c r="A13" s="12" t="s">
        <v>266</v>
      </c>
      <c r="B13" s="17">
        <v>20.32</v>
      </c>
      <c r="C13" s="18">
        <f>B13</f>
        <v>20.32</v>
      </c>
      <c r="D13" s="19"/>
    </row>
    <row r="14" spans="1:4" ht="15" x14ac:dyDescent="0.2">
      <c r="A14" s="12" t="s">
        <v>265</v>
      </c>
      <c r="B14" s="23">
        <v>29.59</v>
      </c>
      <c r="C14" s="16">
        <f>B14</f>
        <v>29.59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149.26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44123</v>
      </c>
    </row>
    <row r="22" spans="1:4" ht="15" x14ac:dyDescent="0.2">
      <c r="A22" s="12" t="s">
        <v>266</v>
      </c>
      <c r="B22" s="17">
        <v>25.4</v>
      </c>
      <c r="C22" s="18">
        <f>B22</f>
        <v>25.4</v>
      </c>
      <c r="D22" s="19"/>
    </row>
    <row r="23" spans="1:4" ht="15" x14ac:dyDescent="0.2">
      <c r="A23" s="12" t="s">
        <v>265</v>
      </c>
      <c r="B23" s="23">
        <v>29.65</v>
      </c>
      <c r="C23" s="16">
        <f>B23</f>
        <v>29.65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159.54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44130</v>
      </c>
    </row>
    <row r="30" spans="1:4" ht="15" x14ac:dyDescent="0.2">
      <c r="A30" s="12" t="s">
        <v>266</v>
      </c>
      <c r="B30" s="17">
        <v>24.92</v>
      </c>
      <c r="C30" s="18">
        <f>B30</f>
        <v>24.92</v>
      </c>
      <c r="D30" s="19"/>
    </row>
    <row r="31" spans="1:4" ht="15" x14ac:dyDescent="0.2">
      <c r="A31" s="12" t="s">
        <v>265</v>
      </c>
      <c r="B31" s="23">
        <v>29.65</v>
      </c>
      <c r="C31" s="16">
        <f>B31</f>
        <v>29.65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158.58000000000001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626.91999999999996</v>
      </c>
    </row>
  </sheetData>
  <pageMargins left="0.7" right="0.7" top="0.75" bottom="0.75" header="0.3" footer="0.3"/>
  <pageSetup scale="96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292D-D7B2-48A4-AA4A-9A8B7426632E}">
  <sheetPr>
    <pageSetUpPr fitToPage="1"/>
  </sheetPr>
  <dimension ref="A1:D44"/>
  <sheetViews>
    <sheetView topLeftCell="A16" workbookViewId="0">
      <selection activeCell="B41" sqref="B41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44136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44137</v>
      </c>
    </row>
    <row r="5" spans="1:4" ht="15" x14ac:dyDescent="0.2">
      <c r="A5" s="12" t="s">
        <v>266</v>
      </c>
      <c r="B5" s="17">
        <v>25.4</v>
      </c>
      <c r="C5" s="18">
        <f>B5</f>
        <v>25.4</v>
      </c>
      <c r="D5" s="19"/>
    </row>
    <row r="6" spans="1:4" ht="15" x14ac:dyDescent="0.2">
      <c r="A6" s="12" t="s">
        <v>265</v>
      </c>
      <c r="B6" s="23">
        <v>29.32</v>
      </c>
      <c r="C6" s="16">
        <f>B6</f>
        <v>29.32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158.88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44144</v>
      </c>
    </row>
    <row r="13" spans="1:4" ht="15" x14ac:dyDescent="0.2">
      <c r="A13" s="12" t="s">
        <v>266</v>
      </c>
      <c r="B13" s="17">
        <v>25.4</v>
      </c>
      <c r="C13" s="18">
        <f>B13</f>
        <v>25.4</v>
      </c>
      <c r="D13" s="19"/>
    </row>
    <row r="14" spans="1:4" ht="15" x14ac:dyDescent="0.2">
      <c r="A14" s="12" t="s">
        <v>265</v>
      </c>
      <c r="B14" s="23">
        <v>29.65</v>
      </c>
      <c r="C14" s="16">
        <f>B14</f>
        <v>29.65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159.54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44151</v>
      </c>
    </row>
    <row r="22" spans="1:4" ht="15" x14ac:dyDescent="0.2">
      <c r="A22" s="12" t="s">
        <v>266</v>
      </c>
      <c r="B22" s="17">
        <v>25.19</v>
      </c>
      <c r="C22" s="18">
        <f>B22</f>
        <v>25.19</v>
      </c>
      <c r="D22" s="19"/>
    </row>
    <row r="23" spans="1:4" ht="15" x14ac:dyDescent="0.2">
      <c r="A23" s="12" t="s">
        <v>265</v>
      </c>
      <c r="B23" s="23">
        <v>29.52</v>
      </c>
      <c r="C23" s="16">
        <f>B23</f>
        <v>29.52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158.85999999999999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44158</v>
      </c>
    </row>
    <row r="30" spans="1:4" ht="15" x14ac:dyDescent="0.2">
      <c r="A30" s="12" t="s">
        <v>266</v>
      </c>
      <c r="B30" s="17">
        <v>25.4</v>
      </c>
      <c r="C30" s="18">
        <f>B30</f>
        <v>25.4</v>
      </c>
      <c r="D30" s="19"/>
    </row>
    <row r="31" spans="1:4" ht="15" x14ac:dyDescent="0.2">
      <c r="A31" s="12" t="s">
        <v>265</v>
      </c>
      <c r="B31" s="23">
        <v>29.65</v>
      </c>
      <c r="C31" s="16">
        <f>B31</f>
        <v>29.65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159.54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>
        <f>A29+7</f>
        <v>44165</v>
      </c>
    </row>
    <row r="38" spans="1:4" ht="15" x14ac:dyDescent="0.2">
      <c r="A38" s="12" t="s">
        <v>266</v>
      </c>
      <c r="B38" s="17">
        <v>25.4</v>
      </c>
      <c r="C38" s="18">
        <f>B38</f>
        <v>25.4</v>
      </c>
      <c r="D38" s="19"/>
    </row>
    <row r="39" spans="1:4" ht="15" x14ac:dyDescent="0.2">
      <c r="A39" s="12" t="s">
        <v>265</v>
      </c>
      <c r="B39" s="23">
        <v>29.32</v>
      </c>
      <c r="C39" s="16">
        <f>B39</f>
        <v>29.32</v>
      </c>
      <c r="D39" s="24"/>
    </row>
    <row r="40" spans="1:4" ht="15.75" thickBot="1" x14ac:dyDescent="0.25">
      <c r="A40" s="12" t="s">
        <v>271</v>
      </c>
      <c r="B40" s="20">
        <v>24.72</v>
      </c>
      <c r="C40" s="16">
        <f>B40</f>
        <v>24.72</v>
      </c>
      <c r="D40" s="22"/>
    </row>
    <row r="41" spans="1:4" ht="13.5" thickBot="1" x14ac:dyDescent="0.25"/>
    <row r="42" spans="1:4" ht="13.5" thickBot="1" x14ac:dyDescent="0.25">
      <c r="D42" s="15">
        <f>SUM(B37:C40)</f>
        <v>158.88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795.69999999999993</v>
      </c>
    </row>
  </sheetData>
  <pageMargins left="0.7" right="0.7" top="0.75" bottom="0.75" header="0.3" footer="0.3"/>
  <pageSetup scale="96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E778-741E-42E2-B37B-A9D37A3AC3B4}">
  <sheetPr>
    <pageSetUpPr fitToPage="1"/>
  </sheetPr>
  <dimension ref="A1:D44"/>
  <sheetViews>
    <sheetView topLeftCell="A13" workbookViewId="0">
      <selection activeCell="B33" sqref="B3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44166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44172</v>
      </c>
    </row>
    <row r="5" spans="1:4" ht="15" x14ac:dyDescent="0.2">
      <c r="A5" s="12" t="s">
        <v>266</v>
      </c>
      <c r="B5" s="17">
        <v>25.4</v>
      </c>
      <c r="C5" s="18">
        <f>B5</f>
        <v>25.4</v>
      </c>
      <c r="D5" s="19"/>
    </row>
    <row r="6" spans="1:4" ht="15" x14ac:dyDescent="0.2">
      <c r="A6" s="12" t="s">
        <v>265</v>
      </c>
      <c r="B6" s="23">
        <v>29.71</v>
      </c>
      <c r="C6" s="16">
        <f>B6</f>
        <v>29.71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159.66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44179</v>
      </c>
    </row>
    <row r="13" spans="1:4" ht="15" x14ac:dyDescent="0.2">
      <c r="A13" s="12" t="s">
        <v>266</v>
      </c>
      <c r="B13" s="17">
        <v>25.4</v>
      </c>
      <c r="C13" s="18">
        <f>B13</f>
        <v>25.4</v>
      </c>
      <c r="D13" s="19"/>
    </row>
    <row r="14" spans="1:4" ht="15" x14ac:dyDescent="0.2">
      <c r="A14" s="12" t="s">
        <v>265</v>
      </c>
      <c r="B14" s="23">
        <v>29.65</v>
      </c>
      <c r="C14" s="16">
        <f>B14</f>
        <v>29.65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159.54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44186</v>
      </c>
    </row>
    <row r="22" spans="1:4" ht="15" x14ac:dyDescent="0.2">
      <c r="A22" s="12" t="s">
        <v>266</v>
      </c>
      <c r="B22" s="17">
        <v>24.13</v>
      </c>
      <c r="C22" s="18">
        <f>B22</f>
        <v>24.13</v>
      </c>
      <c r="D22" s="19"/>
    </row>
    <row r="23" spans="1:4" ht="15" x14ac:dyDescent="0.2">
      <c r="A23" s="12" t="s">
        <v>265</v>
      </c>
      <c r="B23" s="23">
        <v>29.65</v>
      </c>
      <c r="C23" s="16">
        <f>B23</f>
        <v>29.65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157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44193</v>
      </c>
    </row>
    <row r="30" spans="1:4" ht="15" x14ac:dyDescent="0.2">
      <c r="A30" s="12" t="s">
        <v>266</v>
      </c>
      <c r="B30" s="17">
        <v>25.4</v>
      </c>
      <c r="C30" s="18">
        <f>B30</f>
        <v>25.4</v>
      </c>
      <c r="D30" s="19"/>
    </row>
    <row r="31" spans="1:4" ht="15" x14ac:dyDescent="0.2">
      <c r="A31" s="12" t="s">
        <v>265</v>
      </c>
      <c r="B31" s="23">
        <v>29.39</v>
      </c>
      <c r="C31" s="16">
        <f>B31</f>
        <v>29.39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159.02000000000001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635.21999999999991</v>
      </c>
    </row>
  </sheetData>
  <pageMargins left="0.7" right="0.7" top="0.75" bottom="0.75" header="0.3" footer="0.3"/>
  <pageSetup scale="96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8DF9-E01D-4264-8BEF-AAE30CA306C3}">
  <dimension ref="A1:D44"/>
  <sheetViews>
    <sheetView topLeftCell="A7" workbookViewId="0">
      <selection activeCell="H32" sqref="H32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44197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44200</v>
      </c>
    </row>
    <row r="5" spans="1:4" ht="15" x14ac:dyDescent="0.2">
      <c r="A5" s="12" t="s">
        <v>266</v>
      </c>
      <c r="B5" s="17">
        <v>25.4</v>
      </c>
      <c r="C5" s="18">
        <f>B5</f>
        <v>25.4</v>
      </c>
      <c r="D5" s="19"/>
    </row>
    <row r="6" spans="1:4" ht="15" x14ac:dyDescent="0.2">
      <c r="A6" s="12" t="s">
        <v>265</v>
      </c>
      <c r="B6" s="23">
        <v>29.65</v>
      </c>
      <c r="C6" s="16">
        <f>B6</f>
        <v>29.65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159.54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44207</v>
      </c>
    </row>
    <row r="13" spans="1:4" ht="15" x14ac:dyDescent="0.2">
      <c r="A13" s="12" t="s">
        <v>266</v>
      </c>
      <c r="B13" s="17">
        <v>25.4</v>
      </c>
      <c r="C13" s="18">
        <f>B13</f>
        <v>25.4</v>
      </c>
      <c r="D13" s="19"/>
    </row>
    <row r="14" spans="1:4" ht="15" x14ac:dyDescent="0.2">
      <c r="A14" s="12" t="s">
        <v>265</v>
      </c>
      <c r="B14" s="23">
        <v>30.17</v>
      </c>
      <c r="C14" s="16">
        <f>B14</f>
        <v>30.17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160.58000000000001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44214</v>
      </c>
    </row>
    <row r="22" spans="1:4" ht="15" x14ac:dyDescent="0.2">
      <c r="A22" s="12" t="s">
        <v>266</v>
      </c>
      <c r="B22" s="17">
        <v>25.4</v>
      </c>
      <c r="C22" s="18">
        <f>B22</f>
        <v>25.4</v>
      </c>
      <c r="D22" s="19"/>
    </row>
    <row r="23" spans="1:4" ht="15" x14ac:dyDescent="0.2">
      <c r="A23" s="12" t="s">
        <v>265</v>
      </c>
      <c r="B23" s="23">
        <v>31.21</v>
      </c>
      <c r="C23" s="16">
        <f>B23</f>
        <v>31.21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162.66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44221</v>
      </c>
    </row>
    <row r="30" spans="1:4" ht="15" x14ac:dyDescent="0.2">
      <c r="A30" s="12" t="s">
        <v>266</v>
      </c>
      <c r="B30" s="17">
        <v>25.4</v>
      </c>
      <c r="C30" s="18">
        <f>B30</f>
        <v>25.4</v>
      </c>
      <c r="D30" s="19"/>
    </row>
    <row r="31" spans="1:4" ht="15" x14ac:dyDescent="0.2">
      <c r="A31" s="12" t="s">
        <v>265</v>
      </c>
      <c r="B31" s="23">
        <v>31.21</v>
      </c>
      <c r="C31" s="16">
        <f>B31</f>
        <v>31.21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162.66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645.43999999999994</v>
      </c>
    </row>
  </sheetData>
  <pageMargins left="0.7" right="0.7" top="0.75" bottom="0.75" header="0.3" footer="0.3"/>
  <pageSetup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B1A6-E94C-4554-9632-D53995AE47A1}">
  <sheetPr>
    <pageSetUpPr fitToPage="1"/>
  </sheetPr>
  <dimension ref="A1:D44"/>
  <sheetViews>
    <sheetView topLeftCell="A25" workbookViewId="0">
      <selection activeCell="B8" sqref="B8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44228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44228</v>
      </c>
    </row>
    <row r="5" spans="1:4" ht="15" x14ac:dyDescent="0.2">
      <c r="A5" s="12" t="s">
        <v>266</v>
      </c>
      <c r="B5" s="17">
        <v>25.4</v>
      </c>
      <c r="C5" s="18">
        <f>B5</f>
        <v>25.4</v>
      </c>
      <c r="D5" s="19"/>
    </row>
    <row r="6" spans="1:4" ht="15" x14ac:dyDescent="0.2">
      <c r="A6" s="12" t="s">
        <v>265</v>
      </c>
      <c r="B6" s="23">
        <v>29.98</v>
      </c>
      <c r="C6" s="16">
        <f>B6</f>
        <v>29.98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160.20000000000002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44235</v>
      </c>
    </row>
    <row r="13" spans="1:4" ht="15" x14ac:dyDescent="0.2">
      <c r="A13" s="12" t="s">
        <v>266</v>
      </c>
      <c r="B13" s="17">
        <v>25.4</v>
      </c>
      <c r="C13" s="18">
        <f>B13</f>
        <v>25.4</v>
      </c>
      <c r="D13" s="19"/>
    </row>
    <row r="14" spans="1:4" ht="15" x14ac:dyDescent="0.2">
      <c r="A14" s="12" t="s">
        <v>265</v>
      </c>
      <c r="B14" s="23">
        <v>30.1</v>
      </c>
      <c r="C14" s="16">
        <f>B14</f>
        <v>30.1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160.44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44242</v>
      </c>
    </row>
    <row r="22" spans="1:4" ht="15" x14ac:dyDescent="0.2">
      <c r="A22" s="12" t="s">
        <v>266</v>
      </c>
      <c r="B22" s="17">
        <v>22.86</v>
      </c>
      <c r="C22" s="18">
        <f>B22</f>
        <v>22.86</v>
      </c>
      <c r="D22" s="19"/>
    </row>
    <row r="23" spans="1:4" ht="15" x14ac:dyDescent="0.2">
      <c r="A23" s="12" t="s">
        <v>265</v>
      </c>
      <c r="B23" s="23">
        <v>29.26</v>
      </c>
      <c r="C23" s="16">
        <f>B23</f>
        <v>29.26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153.68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44249</v>
      </c>
    </row>
    <row r="30" spans="1:4" ht="15" x14ac:dyDescent="0.2">
      <c r="A30" s="12" t="s">
        <v>266</v>
      </c>
      <c r="B30" s="17">
        <v>25.4</v>
      </c>
      <c r="C30" s="18">
        <f>B30</f>
        <v>25.4</v>
      </c>
      <c r="D30" s="19"/>
    </row>
    <row r="31" spans="1:4" ht="15" x14ac:dyDescent="0.2">
      <c r="A31" s="12" t="s">
        <v>265</v>
      </c>
      <c r="B31" s="23">
        <v>29.26</v>
      </c>
      <c r="C31" s="16">
        <f>B31</f>
        <v>29.26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158.76000000000002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633.08000000000004</v>
      </c>
    </row>
  </sheetData>
  <pageMargins left="0.7" right="0.7" top="0.75" bottom="0.75" header="0.3" footer="0.3"/>
  <pageSetup scale="96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5078-F147-4C55-B525-F65A54139E05}">
  <sheetPr>
    <pageSetUpPr fitToPage="1"/>
  </sheetPr>
  <dimension ref="A1:D44"/>
  <sheetViews>
    <sheetView workbookViewId="0">
      <selection activeCell="B40" sqref="B40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44256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44256</v>
      </c>
    </row>
    <row r="5" spans="1:4" ht="15" x14ac:dyDescent="0.2">
      <c r="A5" s="12" t="s">
        <v>266</v>
      </c>
      <c r="B5" s="17">
        <v>25.4</v>
      </c>
      <c r="C5" s="18">
        <f>B5</f>
        <v>25.4</v>
      </c>
      <c r="D5" s="19"/>
    </row>
    <row r="6" spans="1:4" ht="15" x14ac:dyDescent="0.2">
      <c r="A6" s="12" t="s">
        <v>265</v>
      </c>
      <c r="B6" s="23">
        <v>29.07</v>
      </c>
      <c r="C6" s="16">
        <f>B6</f>
        <v>29.07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158.38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44263</v>
      </c>
    </row>
    <row r="13" spans="1:4" ht="15" x14ac:dyDescent="0.2">
      <c r="A13" s="12" t="s">
        <v>266</v>
      </c>
      <c r="B13" s="17">
        <v>25.4</v>
      </c>
      <c r="C13" s="18">
        <f>B13</f>
        <v>25.4</v>
      </c>
      <c r="D13" s="19"/>
    </row>
    <row r="14" spans="1:4" ht="15" x14ac:dyDescent="0.2">
      <c r="A14" s="12" t="s">
        <v>265</v>
      </c>
      <c r="B14" s="23">
        <v>29.26</v>
      </c>
      <c r="C14" s="16">
        <f>B14</f>
        <v>29.26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158.76000000000002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44270</v>
      </c>
    </row>
    <row r="22" spans="1:4" ht="15" x14ac:dyDescent="0.2">
      <c r="A22" s="12" t="s">
        <v>266</v>
      </c>
      <c r="B22" s="17">
        <v>25.4</v>
      </c>
      <c r="C22" s="18">
        <f>B22</f>
        <v>25.4</v>
      </c>
      <c r="D22" s="19"/>
    </row>
    <row r="23" spans="1:4" ht="15" x14ac:dyDescent="0.2">
      <c r="A23" s="12" t="s">
        <v>265</v>
      </c>
      <c r="B23" s="23">
        <v>29.26</v>
      </c>
      <c r="C23" s="16">
        <f>B23</f>
        <v>29.26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158.76000000000002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44277</v>
      </c>
    </row>
    <row r="30" spans="1:4" ht="15" x14ac:dyDescent="0.2">
      <c r="A30" s="12" t="s">
        <v>266</v>
      </c>
      <c r="B30" s="17">
        <v>25.4</v>
      </c>
      <c r="C30" s="18">
        <f>B30</f>
        <v>25.4</v>
      </c>
      <c r="D30" s="19"/>
    </row>
    <row r="31" spans="1:4" ht="15" x14ac:dyDescent="0.2">
      <c r="A31" s="12" t="s">
        <v>265</v>
      </c>
      <c r="B31" s="23">
        <v>29.26</v>
      </c>
      <c r="C31" s="16">
        <f>B31</f>
        <v>29.26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158.76000000000002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>
        <f>A29+7</f>
        <v>44284</v>
      </c>
    </row>
    <row r="38" spans="1:4" ht="15" x14ac:dyDescent="0.2">
      <c r="A38" s="12" t="s">
        <v>266</v>
      </c>
      <c r="B38" s="17">
        <v>25.4</v>
      </c>
      <c r="C38" s="18">
        <f>B38</f>
        <v>25.4</v>
      </c>
      <c r="D38" s="19"/>
    </row>
    <row r="39" spans="1:4" ht="15" x14ac:dyDescent="0.2">
      <c r="A39" s="12" t="s">
        <v>265</v>
      </c>
      <c r="B39" s="23">
        <v>29.26</v>
      </c>
      <c r="C39" s="16">
        <f>B39</f>
        <v>29.26</v>
      </c>
      <c r="D39" s="24"/>
    </row>
    <row r="40" spans="1:4" ht="15.75" thickBot="1" x14ac:dyDescent="0.25">
      <c r="A40" s="12" t="s">
        <v>271</v>
      </c>
      <c r="B40" s="20">
        <v>24.72</v>
      </c>
      <c r="C40" s="16">
        <f>B40</f>
        <v>24.72</v>
      </c>
      <c r="D40" s="22"/>
    </row>
    <row r="41" spans="1:4" ht="13.5" thickBot="1" x14ac:dyDescent="0.25"/>
    <row r="42" spans="1:4" ht="13.5" thickBot="1" x14ac:dyDescent="0.25">
      <c r="D42" s="15">
        <f>SUM(B37:C40)</f>
        <v>158.76000000000002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793.42000000000007</v>
      </c>
    </row>
  </sheetData>
  <pageMargins left="0.7" right="0.7" top="0.75" bottom="0.75" header="0.3" footer="0.3"/>
  <pageSetup scale="96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9E0B-14E2-42B7-B423-EB1BC7D6B82F}">
  <sheetPr>
    <pageSetUpPr fitToPage="1"/>
  </sheetPr>
  <dimension ref="A1:D44"/>
  <sheetViews>
    <sheetView workbookViewId="0">
      <selection activeCell="B33" sqref="B3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44287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44291</v>
      </c>
    </row>
    <row r="5" spans="1:4" ht="15" x14ac:dyDescent="0.2">
      <c r="A5" s="12" t="s">
        <v>266</v>
      </c>
      <c r="B5" s="17">
        <v>25.4</v>
      </c>
      <c r="C5" s="18">
        <f>B5</f>
        <v>25.4</v>
      </c>
      <c r="D5" s="19"/>
    </row>
    <row r="6" spans="1:4" ht="15" x14ac:dyDescent="0.2">
      <c r="A6" s="12" t="s">
        <v>265</v>
      </c>
      <c r="B6" s="23">
        <v>29.26</v>
      </c>
      <c r="C6" s="16">
        <f>B6</f>
        <v>29.26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158.76000000000002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44298</v>
      </c>
    </row>
    <row r="13" spans="1:4" ht="15" x14ac:dyDescent="0.2">
      <c r="A13" s="12" t="s">
        <v>266</v>
      </c>
      <c r="B13" s="17">
        <v>67.73</v>
      </c>
      <c r="C13" s="18">
        <v>25.4</v>
      </c>
      <c r="D13" s="19"/>
    </row>
    <row r="14" spans="1:4" ht="15" x14ac:dyDescent="0.2">
      <c r="A14" s="12" t="s">
        <v>265</v>
      </c>
      <c r="B14" s="23">
        <v>29.46</v>
      </c>
      <c r="C14" s="16">
        <f>B14</f>
        <v>29.46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201.49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44305</v>
      </c>
    </row>
    <row r="22" spans="1:4" ht="15" x14ac:dyDescent="0.2">
      <c r="A22" s="12" t="s">
        <v>266</v>
      </c>
      <c r="B22" s="17">
        <v>126.99</v>
      </c>
      <c r="C22" s="18">
        <v>25.4</v>
      </c>
      <c r="D22" s="19"/>
    </row>
    <row r="23" spans="1:4" ht="15" x14ac:dyDescent="0.2">
      <c r="A23" s="12" t="s">
        <v>265</v>
      </c>
      <c r="B23" s="23">
        <v>29.07</v>
      </c>
      <c r="C23" s="16">
        <f>B23</f>
        <v>29.07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259.96999999999997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44312</v>
      </c>
    </row>
    <row r="30" spans="1:4" ht="15" x14ac:dyDescent="0.2">
      <c r="A30" s="12" t="s">
        <v>266</v>
      </c>
      <c r="B30" s="17">
        <v>126.99</v>
      </c>
      <c r="C30" s="18">
        <v>25.4</v>
      </c>
      <c r="D30" s="19"/>
    </row>
    <row r="31" spans="1:4" ht="15" x14ac:dyDescent="0.2">
      <c r="A31" s="12" t="s">
        <v>265</v>
      </c>
      <c r="B31" s="23">
        <v>29.26</v>
      </c>
      <c r="C31" s="16">
        <f>B31</f>
        <v>29.26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260.34999999999997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880.56999999999994</v>
      </c>
    </row>
  </sheetData>
  <pageMargins left="0.7" right="0.7" top="0.75" bottom="0.75" header="0.3" footer="0.3"/>
  <pageSetup scale="96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AF97-29A3-462C-9C2A-C3CFD015EEE6}">
  <sheetPr>
    <pageSetUpPr fitToPage="1"/>
  </sheetPr>
  <dimension ref="A1:D44"/>
  <sheetViews>
    <sheetView topLeftCell="A34" workbookViewId="0">
      <selection activeCell="B33" sqref="B3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44317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44319</v>
      </c>
    </row>
    <row r="5" spans="1:4" ht="15" x14ac:dyDescent="0.2">
      <c r="A5" s="12" t="s">
        <v>266</v>
      </c>
      <c r="B5" s="17">
        <v>126.99</v>
      </c>
      <c r="C5" s="18">
        <v>25.4</v>
      </c>
      <c r="D5" s="19"/>
    </row>
    <row r="6" spans="1:4" ht="15" x14ac:dyDescent="0.2">
      <c r="A6" s="12" t="s">
        <v>265</v>
      </c>
      <c r="B6" s="23">
        <v>29.39</v>
      </c>
      <c r="C6" s="16">
        <f>B6</f>
        <v>29.39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260.60999999999996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44326</v>
      </c>
    </row>
    <row r="13" spans="1:4" ht="15" x14ac:dyDescent="0.2">
      <c r="A13" s="12" t="s">
        <v>266</v>
      </c>
      <c r="B13" s="17">
        <v>120.64</v>
      </c>
      <c r="C13" s="18">
        <v>25.4</v>
      </c>
      <c r="D13" s="19"/>
    </row>
    <row r="14" spans="1:4" ht="15" x14ac:dyDescent="0.2">
      <c r="A14" s="12" t="s">
        <v>265</v>
      </c>
      <c r="B14" s="23">
        <v>29.07</v>
      </c>
      <c r="C14" s="16">
        <f>B14</f>
        <v>29.07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253.61999999999998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44333</v>
      </c>
    </row>
    <row r="22" spans="1:4" ht="15" x14ac:dyDescent="0.2">
      <c r="A22" s="12" t="s">
        <v>266</v>
      </c>
      <c r="B22" s="17">
        <v>126.99</v>
      </c>
      <c r="C22" s="18">
        <v>25.4</v>
      </c>
      <c r="D22" s="19"/>
    </row>
    <row r="23" spans="1:4" ht="15" x14ac:dyDescent="0.2">
      <c r="A23" s="12" t="s">
        <v>265</v>
      </c>
      <c r="B23" s="23">
        <v>29.26</v>
      </c>
      <c r="C23" s="16">
        <f>B23</f>
        <v>29.26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260.34999999999997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44340</v>
      </c>
    </row>
    <row r="30" spans="1:4" ht="15" x14ac:dyDescent="0.2">
      <c r="A30" s="12" t="s">
        <v>266</v>
      </c>
      <c r="B30" s="17">
        <v>126.99</v>
      </c>
      <c r="C30" s="18">
        <v>25.4</v>
      </c>
      <c r="D30" s="19"/>
    </row>
    <row r="31" spans="1:4" ht="15" x14ac:dyDescent="0.2">
      <c r="A31" s="12" t="s">
        <v>265</v>
      </c>
      <c r="B31" s="23">
        <v>29.07</v>
      </c>
      <c r="C31" s="16">
        <f>B31</f>
        <v>29.07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259.96999999999997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>
        <f>A29+7</f>
        <v>44347</v>
      </c>
    </row>
    <row r="38" spans="1:4" ht="15" x14ac:dyDescent="0.2">
      <c r="A38" s="12" t="s">
        <v>266</v>
      </c>
      <c r="B38" s="17"/>
      <c r="C38" s="18">
        <v>25.4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25.4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1059.9499999999998</v>
      </c>
    </row>
  </sheetData>
  <pageMargins left="0.7" right="0.7" top="0.75" bottom="0.75" header="0.3" footer="0.3"/>
  <pageSetup scale="96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F4F5-2038-4D57-B8AF-671CE3A6DFC6}">
  <sheetPr>
    <pageSetUpPr fitToPage="1"/>
  </sheetPr>
  <dimension ref="A1:D44"/>
  <sheetViews>
    <sheetView topLeftCell="A13" workbookViewId="0">
      <selection activeCell="D28" sqref="D28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44348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44354</v>
      </c>
    </row>
    <row r="5" spans="1:4" ht="15" x14ac:dyDescent="0.2">
      <c r="A5" s="12" t="s">
        <v>266</v>
      </c>
      <c r="B5" s="17">
        <v>126.99</v>
      </c>
      <c r="C5" s="18">
        <f>B5*0.3</f>
        <v>38.096999999999994</v>
      </c>
      <c r="D5" s="19"/>
    </row>
    <row r="6" spans="1:4" ht="15" x14ac:dyDescent="0.2">
      <c r="A6" s="12" t="s">
        <v>265</v>
      </c>
      <c r="B6" s="23">
        <v>17.95</v>
      </c>
      <c r="C6" s="16">
        <f>B6</f>
        <v>17.95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250.42699999999996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44361</v>
      </c>
    </row>
    <row r="13" spans="1:4" ht="15" x14ac:dyDescent="0.2">
      <c r="A13" s="12" t="s">
        <v>266</v>
      </c>
      <c r="B13" s="17">
        <v>126.99</v>
      </c>
      <c r="C13" s="18">
        <f>B13*0.3</f>
        <v>38.096999999999994</v>
      </c>
      <c r="D13" s="19"/>
    </row>
    <row r="14" spans="1:4" ht="15" x14ac:dyDescent="0.2">
      <c r="A14" s="12" t="s">
        <v>265</v>
      </c>
      <c r="B14" s="23">
        <v>29.26</v>
      </c>
      <c r="C14" s="16">
        <f>B14</f>
        <v>29.26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273.04699999999997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44368</v>
      </c>
    </row>
    <row r="22" spans="1:4" ht="15" x14ac:dyDescent="0.2">
      <c r="A22" s="12" t="s">
        <v>266</v>
      </c>
      <c r="B22" s="17">
        <v>126.99</v>
      </c>
      <c r="C22" s="18">
        <f>B22*0.3</f>
        <v>38.096999999999994</v>
      </c>
      <c r="D22" s="19"/>
    </row>
    <row r="23" spans="1:4" ht="15" x14ac:dyDescent="0.2">
      <c r="A23" s="12" t="s">
        <v>265</v>
      </c>
      <c r="B23" s="23">
        <v>29.26</v>
      </c>
      <c r="C23" s="16">
        <f>B23</f>
        <v>29.26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273.04699999999997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44375</v>
      </c>
    </row>
    <row r="30" spans="1:4" ht="15" x14ac:dyDescent="0.2">
      <c r="A30" s="12" t="s">
        <v>266</v>
      </c>
      <c r="B30" s="17">
        <v>126.99</v>
      </c>
      <c r="C30" s="18">
        <f>B30*0.3</f>
        <v>38.096999999999994</v>
      </c>
      <c r="D30" s="19"/>
    </row>
    <row r="31" spans="1:4" ht="15" x14ac:dyDescent="0.2">
      <c r="A31" s="12" t="s">
        <v>265</v>
      </c>
      <c r="B31" s="23">
        <v>29.13</v>
      </c>
      <c r="C31" s="16">
        <f>B31</f>
        <v>29.13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272.78699999999998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B38*0.3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v>1069.32</v>
      </c>
    </row>
  </sheetData>
  <pageMargins left="0.7" right="0.7" top="0.75" bottom="0.75" header="0.3" footer="0.3"/>
  <pageSetup scale="96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703B-50AC-4EC9-B2F0-E6F969FD6137}">
  <sheetPr>
    <pageSetUpPr fitToPage="1"/>
  </sheetPr>
  <dimension ref="A1:D44"/>
  <sheetViews>
    <sheetView topLeftCell="A14" workbookViewId="0">
      <selection activeCell="C37" sqref="C37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44378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44382</v>
      </c>
    </row>
    <row r="5" spans="1:4" ht="15" x14ac:dyDescent="0.2">
      <c r="A5" s="12" t="s">
        <v>266</v>
      </c>
      <c r="B5" s="17">
        <v>126.99</v>
      </c>
      <c r="C5" s="18">
        <f>B5*0.3</f>
        <v>38.096999999999994</v>
      </c>
      <c r="D5" s="19"/>
    </row>
    <row r="6" spans="1:4" ht="15" x14ac:dyDescent="0.2">
      <c r="A6" s="12" t="s">
        <v>265</v>
      </c>
      <c r="B6" s="23">
        <v>26.01</v>
      </c>
      <c r="C6" s="16">
        <f>B6</f>
        <v>26.01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266.54699999999997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44389</v>
      </c>
    </row>
    <row r="13" spans="1:4" ht="15" x14ac:dyDescent="0.2">
      <c r="A13" s="12" t="s">
        <v>266</v>
      </c>
      <c r="B13" s="17">
        <v>152.38999999999999</v>
      </c>
      <c r="C13" s="18">
        <v>38.1</v>
      </c>
      <c r="D13" s="19"/>
    </row>
    <row r="14" spans="1:4" ht="15" x14ac:dyDescent="0.2">
      <c r="A14" s="12" t="s">
        <v>265</v>
      </c>
      <c r="B14" s="23">
        <v>26.59</v>
      </c>
      <c r="C14" s="16">
        <f>B14</f>
        <v>26.59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293.11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44396</v>
      </c>
    </row>
    <row r="22" spans="1:4" ht="15" x14ac:dyDescent="0.2">
      <c r="A22" s="12" t="s">
        <v>266</v>
      </c>
      <c r="B22" s="17">
        <v>126.99</v>
      </c>
      <c r="C22" s="18">
        <f>B22*0.3</f>
        <v>38.096999999999994</v>
      </c>
      <c r="D22" s="19"/>
    </row>
    <row r="23" spans="1:4" ht="15" x14ac:dyDescent="0.2">
      <c r="A23" s="12" t="s">
        <v>265</v>
      </c>
      <c r="B23" s="23">
        <v>28.09</v>
      </c>
      <c r="C23" s="16">
        <f>B23</f>
        <v>28.09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270.70699999999999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44403</v>
      </c>
    </row>
    <row r="30" spans="1:4" ht="15" x14ac:dyDescent="0.2">
      <c r="A30" s="12" t="s">
        <v>266</v>
      </c>
      <c r="B30" s="17">
        <v>129.99</v>
      </c>
      <c r="C30" s="18">
        <v>38.979999999999997</v>
      </c>
      <c r="D30" s="19"/>
    </row>
    <row r="31" spans="1:4" ht="15" x14ac:dyDescent="0.2">
      <c r="A31" s="12" t="s">
        <v>265</v>
      </c>
      <c r="B31" s="23">
        <v>28.63</v>
      </c>
      <c r="C31" s="16">
        <f>B31</f>
        <v>28.63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275.66999999999996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B38*0.3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v>1106.04</v>
      </c>
    </row>
  </sheetData>
  <pageMargins left="0.7" right="0.7" top="0.75" bottom="0.75" header="0.3" footer="0.3"/>
  <pageSetup scale="96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E466-ECC5-4B71-892D-1AF84B995A5A}">
  <sheetPr>
    <pageSetUpPr fitToPage="1"/>
  </sheetPr>
  <dimension ref="A1:D44"/>
  <sheetViews>
    <sheetView topLeftCell="A6" workbookViewId="0">
      <selection activeCell="B41" sqref="B41"/>
    </sheetView>
  </sheetViews>
  <sheetFormatPr defaultRowHeight="12.75" x14ac:dyDescent="0.2"/>
  <cols>
    <col min="1" max="1" width="25.85546875" style="28" bestFit="1" customWidth="1"/>
    <col min="2" max="2" width="21" style="9" customWidth="1"/>
    <col min="3" max="3" width="26.42578125" style="9" customWidth="1"/>
    <col min="4" max="4" width="21.140625" style="9" customWidth="1"/>
    <col min="5" max="16384" width="9.140625" style="28"/>
  </cols>
  <sheetData>
    <row r="1" spans="1:4" ht="13.5" thickBot="1" x14ac:dyDescent="0.25">
      <c r="A1" s="28" t="s">
        <v>0</v>
      </c>
    </row>
    <row r="2" spans="1:4" ht="13.5" thickBot="1" x14ac:dyDescent="0.25">
      <c r="A2" s="29" t="s">
        <v>270</v>
      </c>
      <c r="B2" s="30">
        <v>44409</v>
      </c>
    </row>
    <row r="3" spans="1:4" ht="15.75" thickBot="1" x14ac:dyDescent="0.3">
      <c r="A3" s="31"/>
      <c r="B3" s="32" t="s">
        <v>267</v>
      </c>
      <c r="C3" s="32" t="s">
        <v>268</v>
      </c>
      <c r="D3" s="9" t="s">
        <v>7</v>
      </c>
    </row>
    <row r="4" spans="1:4" ht="13.5" thickBot="1" x14ac:dyDescent="0.25">
      <c r="A4" s="30">
        <f>B2+IF(2 &lt; WEEKDAY(B2), 7 - WEEKDAY(B2) + 2, 2 - WEEKDAY(B2))</f>
        <v>44410</v>
      </c>
    </row>
    <row r="5" spans="1:4" ht="15" x14ac:dyDescent="0.2">
      <c r="A5" s="33" t="s">
        <v>266</v>
      </c>
      <c r="B5" s="17">
        <v>121.87</v>
      </c>
      <c r="C5" s="18">
        <v>37.56</v>
      </c>
      <c r="D5" s="19"/>
    </row>
    <row r="6" spans="1:4" ht="15" x14ac:dyDescent="0.2">
      <c r="A6" s="33" t="s">
        <v>265</v>
      </c>
      <c r="B6" s="23">
        <v>53.02</v>
      </c>
      <c r="C6" s="16">
        <v>31.09</v>
      </c>
      <c r="D6" s="24"/>
    </row>
    <row r="7" spans="1:4" ht="15.75" thickBot="1" x14ac:dyDescent="0.25">
      <c r="A7" s="33" t="s">
        <v>272</v>
      </c>
      <c r="B7" s="20">
        <v>25.22</v>
      </c>
      <c r="C7" s="16">
        <v>25.22</v>
      </c>
      <c r="D7" s="22"/>
    </row>
    <row r="8" spans="1:4" ht="13.5" thickBot="1" x14ac:dyDescent="0.25"/>
    <row r="9" spans="1:4" ht="13.5" thickBot="1" x14ac:dyDescent="0.25">
      <c r="D9" s="15">
        <f>SUM(B5:C7)</f>
        <v>293.98</v>
      </c>
    </row>
    <row r="11" spans="1:4" ht="15.75" thickBot="1" x14ac:dyDescent="0.3">
      <c r="A11" s="31"/>
      <c r="B11" s="32" t="s">
        <v>267</v>
      </c>
      <c r="C11" s="32" t="s">
        <v>268</v>
      </c>
      <c r="D11" s="9" t="s">
        <v>7</v>
      </c>
    </row>
    <row r="12" spans="1:4" ht="13.5" thickBot="1" x14ac:dyDescent="0.25">
      <c r="A12" s="30">
        <f>A4+7</f>
        <v>44417</v>
      </c>
    </row>
    <row r="13" spans="1:4" ht="15" x14ac:dyDescent="0.2">
      <c r="A13" s="33" t="s">
        <v>266</v>
      </c>
      <c r="B13" s="17">
        <v>129.99</v>
      </c>
      <c r="C13" s="18">
        <v>40.25</v>
      </c>
      <c r="D13" s="19"/>
    </row>
    <row r="14" spans="1:4" ht="15" x14ac:dyDescent="0.2">
      <c r="A14" s="33" t="s">
        <v>265</v>
      </c>
      <c r="B14" s="23">
        <v>49.81</v>
      </c>
      <c r="C14" s="16">
        <v>30.09</v>
      </c>
      <c r="D14" s="24"/>
    </row>
    <row r="15" spans="1:4" ht="15.75" thickBot="1" x14ac:dyDescent="0.25">
      <c r="A15" s="33" t="s">
        <v>272</v>
      </c>
      <c r="B15" s="20">
        <v>25.22</v>
      </c>
      <c r="C15" s="16">
        <v>25.22</v>
      </c>
      <c r="D15" s="22"/>
    </row>
    <row r="16" spans="1:4" ht="13.5" thickBot="1" x14ac:dyDescent="0.25"/>
    <row r="17" spans="1:4" ht="13.5" thickBot="1" x14ac:dyDescent="0.25">
      <c r="D17" s="15">
        <f>SUM(B13:C15)</f>
        <v>300.58000000000004</v>
      </c>
    </row>
    <row r="20" spans="1:4" ht="15.75" thickBot="1" x14ac:dyDescent="0.3">
      <c r="B20" s="32" t="s">
        <v>267</v>
      </c>
      <c r="C20" s="32" t="s">
        <v>268</v>
      </c>
      <c r="D20" s="9" t="s">
        <v>7</v>
      </c>
    </row>
    <row r="21" spans="1:4" ht="13.5" thickBot="1" x14ac:dyDescent="0.25">
      <c r="A21" s="30">
        <f>A12+7</f>
        <v>44424</v>
      </c>
    </row>
    <row r="22" spans="1:4" ht="15" x14ac:dyDescent="0.2">
      <c r="A22" s="33" t="s">
        <v>266</v>
      </c>
      <c r="B22" s="17">
        <v>129.99</v>
      </c>
      <c r="C22" s="18">
        <v>40.25</v>
      </c>
      <c r="D22" s="19"/>
    </row>
    <row r="23" spans="1:4" ht="15" x14ac:dyDescent="0.2">
      <c r="A23" s="33" t="s">
        <v>265</v>
      </c>
      <c r="B23" s="23">
        <v>49.6</v>
      </c>
      <c r="C23" s="16">
        <v>30.76</v>
      </c>
      <c r="D23" s="24"/>
    </row>
    <row r="24" spans="1:4" ht="15.75" thickBot="1" x14ac:dyDescent="0.25">
      <c r="A24" s="33" t="s">
        <v>272</v>
      </c>
      <c r="B24" s="20">
        <v>25.22</v>
      </c>
      <c r="C24" s="16">
        <v>25.22</v>
      </c>
      <c r="D24" s="22"/>
    </row>
    <row r="25" spans="1:4" ht="15.75" thickBot="1" x14ac:dyDescent="0.25">
      <c r="A25" s="33"/>
      <c r="B25" s="26"/>
      <c r="C25" s="26"/>
      <c r="D25" s="27"/>
    </row>
    <row r="26" spans="1:4" ht="13.5" thickBot="1" x14ac:dyDescent="0.25">
      <c r="D26" s="15">
        <f>SUM(B21:C24)</f>
        <v>301.03999999999996</v>
      </c>
    </row>
    <row r="28" spans="1:4" ht="15.75" thickBot="1" x14ac:dyDescent="0.3">
      <c r="A28" s="31"/>
      <c r="B28" s="32" t="s">
        <v>267</v>
      </c>
      <c r="C28" s="32" t="s">
        <v>268</v>
      </c>
      <c r="D28" s="9" t="s">
        <v>7</v>
      </c>
    </row>
    <row r="29" spans="1:4" ht="13.5" thickBot="1" x14ac:dyDescent="0.25">
      <c r="A29" s="30">
        <f>A21+7</f>
        <v>44431</v>
      </c>
    </row>
    <row r="30" spans="1:4" ht="15" x14ac:dyDescent="0.2">
      <c r="A30" s="33" t="s">
        <v>266</v>
      </c>
      <c r="B30" s="17">
        <v>112.67</v>
      </c>
      <c r="C30" s="18">
        <v>35.049999999999997</v>
      </c>
      <c r="D30" s="19"/>
    </row>
    <row r="31" spans="1:4" ht="15" x14ac:dyDescent="0.2">
      <c r="A31" s="33" t="s">
        <v>265</v>
      </c>
      <c r="B31" s="23">
        <v>49.71</v>
      </c>
      <c r="C31" s="16">
        <v>30.82</v>
      </c>
      <c r="D31" s="24"/>
    </row>
    <row r="32" spans="1:4" ht="15.75" thickBot="1" x14ac:dyDescent="0.25">
      <c r="A32" s="33" t="s">
        <v>272</v>
      </c>
      <c r="B32" s="20">
        <v>25.22</v>
      </c>
      <c r="C32" s="16">
        <v>25.22</v>
      </c>
      <c r="D32" s="22"/>
    </row>
    <row r="33" spans="1:4" ht="12.75" customHeight="1" thickBot="1" x14ac:dyDescent="0.25">
      <c r="A33" s="33"/>
      <c r="B33" s="26"/>
      <c r="C33" s="26"/>
      <c r="D33" s="26"/>
    </row>
    <row r="34" spans="1:4" ht="15.75" thickBot="1" x14ac:dyDescent="0.25">
      <c r="A34" s="33"/>
      <c r="B34" s="26"/>
      <c r="C34" s="26"/>
      <c r="D34" s="15">
        <f>SUM(B29:C32)</f>
        <v>278.69</v>
      </c>
    </row>
    <row r="36" spans="1:4" ht="15.75" thickBot="1" x14ac:dyDescent="0.3">
      <c r="A36" s="31"/>
      <c r="B36" s="32" t="s">
        <v>267</v>
      </c>
      <c r="C36" s="32" t="s">
        <v>268</v>
      </c>
      <c r="D36" s="9" t="s">
        <v>7</v>
      </c>
    </row>
    <row r="37" spans="1:4" ht="13.5" thickBot="1" x14ac:dyDescent="0.25">
      <c r="A37" s="30">
        <f>A29+7</f>
        <v>44438</v>
      </c>
    </row>
    <row r="38" spans="1:4" ht="15" x14ac:dyDescent="0.2">
      <c r="A38" s="33" t="s">
        <v>266</v>
      </c>
      <c r="B38" s="17">
        <v>129.99</v>
      </c>
      <c r="C38" s="18">
        <v>40.25</v>
      </c>
      <c r="D38" s="19"/>
    </row>
    <row r="39" spans="1:4" ht="15" x14ac:dyDescent="0.2">
      <c r="A39" s="33" t="s">
        <v>265</v>
      </c>
      <c r="B39" s="23">
        <v>49.04</v>
      </c>
      <c r="C39" s="16">
        <v>30.43</v>
      </c>
      <c r="D39" s="24"/>
    </row>
    <row r="40" spans="1:4" ht="15.75" thickBot="1" x14ac:dyDescent="0.25">
      <c r="A40" s="33" t="s">
        <v>271</v>
      </c>
      <c r="B40" s="20">
        <v>25.22</v>
      </c>
      <c r="C40" s="16">
        <v>25.22</v>
      </c>
      <c r="D40" s="22"/>
    </row>
    <row r="41" spans="1:4" ht="13.5" thickBot="1" x14ac:dyDescent="0.25"/>
    <row r="42" spans="1:4" ht="13.5" thickBot="1" x14ac:dyDescent="0.25">
      <c r="D42" s="15">
        <f>SUM(B37:C40)</f>
        <v>300.14999999999998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1474.44</v>
      </c>
    </row>
  </sheetData>
  <pageMargins left="0.7" right="0.7" top="0.75" bottom="0.75" header="0.3" footer="0.3"/>
  <pageSetup scale="96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A1B6-2509-48A7-8883-0E4D5D156AD8}">
  <sheetPr>
    <pageSetUpPr fitToPage="1"/>
  </sheetPr>
  <dimension ref="A1:D44"/>
  <sheetViews>
    <sheetView workbookViewId="0">
      <selection activeCell="C6" sqref="C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44440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44445</v>
      </c>
    </row>
    <row r="5" spans="1:4" ht="15" x14ac:dyDescent="0.2">
      <c r="A5" s="12" t="s">
        <v>266</v>
      </c>
      <c r="B5" s="17">
        <v>129.99</v>
      </c>
      <c r="C5" s="18">
        <v>38.99</v>
      </c>
      <c r="D5" s="19"/>
    </row>
    <row r="6" spans="1:4" ht="15" x14ac:dyDescent="0.2">
      <c r="A6" s="12" t="s">
        <v>265</v>
      </c>
      <c r="B6" s="23">
        <v>49.38</v>
      </c>
      <c r="C6" s="16">
        <f>987.5*0.03</f>
        <v>29.625</v>
      </c>
      <c r="D6" s="24"/>
    </row>
    <row r="7" spans="1:4" ht="15.75" thickBot="1" x14ac:dyDescent="0.25">
      <c r="A7" s="12" t="s">
        <v>272</v>
      </c>
      <c r="B7" s="20">
        <v>24.72</v>
      </c>
      <c r="C7" s="16">
        <f>B7</f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297.42500000000007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44452</v>
      </c>
    </row>
    <row r="13" spans="1:4" ht="15" x14ac:dyDescent="0.2">
      <c r="A13" s="12" t="s">
        <v>266</v>
      </c>
      <c r="B13" s="17">
        <v>123.49</v>
      </c>
      <c r="C13" s="18">
        <f>B13*0.3</f>
        <v>37.046999999999997</v>
      </c>
      <c r="D13" s="19"/>
    </row>
    <row r="14" spans="1:4" ht="15" x14ac:dyDescent="0.2">
      <c r="A14" s="12" t="s">
        <v>265</v>
      </c>
      <c r="B14" s="23">
        <v>49.71</v>
      </c>
      <c r="C14" s="16">
        <f>994.13*0.03</f>
        <v>29.823899999999998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f>B15</f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289.51089999999999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44459</v>
      </c>
    </row>
    <row r="22" spans="1:4" ht="15" x14ac:dyDescent="0.2">
      <c r="A22" s="12" t="s">
        <v>266</v>
      </c>
      <c r="B22" s="17">
        <v>129.99</v>
      </c>
      <c r="C22" s="18">
        <f>B22*0.3</f>
        <v>38.997</v>
      </c>
      <c r="D22" s="19"/>
    </row>
    <row r="23" spans="1:4" ht="15" x14ac:dyDescent="0.2">
      <c r="A23" s="12" t="s">
        <v>265</v>
      </c>
      <c r="B23" s="23">
        <v>49.27</v>
      </c>
      <c r="C23" s="16">
        <f>985.38*0.03</f>
        <v>29.561399999999999</v>
      </c>
      <c r="D23" s="24"/>
    </row>
    <row r="24" spans="1:4" ht="15.75" thickBot="1" x14ac:dyDescent="0.25">
      <c r="A24" s="12" t="s">
        <v>272</v>
      </c>
      <c r="B24" s="20">
        <v>24.72</v>
      </c>
      <c r="C24" s="16">
        <f>B24</f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297.25840000000005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44466</v>
      </c>
    </row>
    <row r="30" spans="1:4" ht="15" x14ac:dyDescent="0.2">
      <c r="A30" s="12" t="s">
        <v>266</v>
      </c>
      <c r="B30" s="17">
        <v>125.12</v>
      </c>
      <c r="C30" s="18">
        <f>B30*0.3</f>
        <v>37.536000000000001</v>
      </c>
      <c r="D30" s="19"/>
    </row>
    <row r="31" spans="1:4" ht="15" x14ac:dyDescent="0.2">
      <c r="A31" s="12" t="s">
        <v>265</v>
      </c>
      <c r="B31" s="23">
        <v>49.71</v>
      </c>
      <c r="C31" s="16">
        <f>969.74*0.03</f>
        <v>29.092199999999998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f>B32</f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290.89819999999997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B38*0.3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1175.0925000000002</v>
      </c>
    </row>
  </sheetData>
  <pageMargins left="0.7" right="0.7" top="0.75" bottom="0.75" header="0.3" footer="0.3"/>
  <pageSetup scale="96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B5AE-4271-4560-8198-4439E6F6D827}">
  <sheetPr>
    <pageSetUpPr fitToPage="1"/>
  </sheetPr>
  <dimension ref="A1:D44"/>
  <sheetViews>
    <sheetView workbookViewId="0">
      <selection activeCell="C6" sqref="C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25">
        <v>44470</v>
      </c>
    </row>
    <row r="3" spans="1:4" ht="15.75" thickBot="1" x14ac:dyDescent="0.3">
      <c r="A3" s="10"/>
      <c r="B3" s="13" t="s">
        <v>267</v>
      </c>
      <c r="C3" s="13" t="s">
        <v>268</v>
      </c>
      <c r="D3" s="9" t="s">
        <v>7</v>
      </c>
    </row>
    <row r="4" spans="1:4" ht="13.5" thickBot="1" x14ac:dyDescent="0.25">
      <c r="A4" s="25">
        <f>B2+IF(2 &lt; WEEKDAY(B2), 7 - WEEKDAY(B2) + 2, 2 - WEEKDAY(B2))</f>
        <v>44473</v>
      </c>
    </row>
    <row r="5" spans="1:4" ht="15" x14ac:dyDescent="0.2">
      <c r="A5" s="12" t="s">
        <v>266</v>
      </c>
      <c r="B5" s="17">
        <v>129.99</v>
      </c>
      <c r="C5" s="18">
        <v>39</v>
      </c>
      <c r="D5" s="19"/>
    </row>
    <row r="6" spans="1:4" ht="15" x14ac:dyDescent="0.2">
      <c r="A6" s="12" t="s">
        <v>265</v>
      </c>
      <c r="B6" s="23">
        <v>49.38</v>
      </c>
      <c r="C6" s="16">
        <v>29.63</v>
      </c>
      <c r="D6" s="24"/>
    </row>
    <row r="7" spans="1:4" ht="15.75" thickBot="1" x14ac:dyDescent="0.25">
      <c r="A7" s="12" t="s">
        <v>272</v>
      </c>
      <c r="B7" s="20">
        <v>24.72</v>
      </c>
      <c r="C7" s="16">
        <v>24.72</v>
      </c>
      <c r="D7" s="22"/>
    </row>
    <row r="8" spans="1:4" ht="13.5" thickBot="1" x14ac:dyDescent="0.25"/>
    <row r="9" spans="1:4" ht="13.5" thickBot="1" x14ac:dyDescent="0.25">
      <c r="D9" s="15">
        <f>SUM(B5:C7)</f>
        <v>297.44000000000005</v>
      </c>
    </row>
    <row r="11" spans="1:4" ht="15.75" thickBot="1" x14ac:dyDescent="0.3">
      <c r="A11" s="10"/>
      <c r="B11" s="13" t="s">
        <v>267</v>
      </c>
      <c r="C11" s="13" t="s">
        <v>268</v>
      </c>
      <c r="D11" s="9" t="s">
        <v>7</v>
      </c>
    </row>
    <row r="12" spans="1:4" ht="13.5" thickBot="1" x14ac:dyDescent="0.25">
      <c r="A12" s="25">
        <f>A4+7</f>
        <v>44480</v>
      </c>
    </row>
    <row r="13" spans="1:4" ht="15" x14ac:dyDescent="0.2">
      <c r="A13" s="12" t="s">
        <v>266</v>
      </c>
      <c r="B13" s="17">
        <v>129.99</v>
      </c>
      <c r="C13" s="18">
        <v>38.99</v>
      </c>
      <c r="D13" s="19"/>
    </row>
    <row r="14" spans="1:4" ht="15" x14ac:dyDescent="0.2">
      <c r="A14" s="12" t="s">
        <v>265</v>
      </c>
      <c r="B14" s="23">
        <v>49.04</v>
      </c>
      <c r="C14" s="16">
        <v>29.43</v>
      </c>
      <c r="D14" s="24"/>
    </row>
    <row r="15" spans="1:4" ht="15.75" thickBot="1" x14ac:dyDescent="0.25">
      <c r="A15" s="12" t="s">
        <v>272</v>
      </c>
      <c r="B15" s="20">
        <v>24.72</v>
      </c>
      <c r="C15" s="16">
        <v>24.72</v>
      </c>
      <c r="D15" s="22"/>
    </row>
    <row r="16" spans="1:4" ht="13.5" thickBot="1" x14ac:dyDescent="0.25"/>
    <row r="17" spans="1:4" ht="13.5" thickBot="1" x14ac:dyDescent="0.25">
      <c r="D17" s="15">
        <f>SUM(B13:C15)</f>
        <v>296.89</v>
      </c>
    </row>
    <row r="20" spans="1:4" ht="15.75" thickBot="1" x14ac:dyDescent="0.3">
      <c r="B20" s="13" t="s">
        <v>267</v>
      </c>
      <c r="C20" s="13" t="s">
        <v>268</v>
      </c>
      <c r="D20" s="9" t="s">
        <v>7</v>
      </c>
    </row>
    <row r="21" spans="1:4" ht="13.5" thickBot="1" x14ac:dyDescent="0.25">
      <c r="A21" s="25">
        <f>A12+7</f>
        <v>44487</v>
      </c>
    </row>
    <row r="22" spans="1:4" ht="15" x14ac:dyDescent="0.2">
      <c r="A22" s="12" t="s">
        <v>266</v>
      </c>
      <c r="B22" s="17">
        <v>129.99</v>
      </c>
      <c r="C22" s="18">
        <v>38.99</v>
      </c>
      <c r="D22" s="19"/>
    </row>
    <row r="23" spans="1:4" ht="15" x14ac:dyDescent="0.2">
      <c r="A23" s="12" t="s">
        <v>265</v>
      </c>
      <c r="B23" s="23">
        <v>48.71</v>
      </c>
      <c r="C23" s="16">
        <v>29.23</v>
      </c>
      <c r="D23" s="24"/>
    </row>
    <row r="24" spans="1:4" ht="15.75" thickBot="1" x14ac:dyDescent="0.25">
      <c r="A24" s="12" t="s">
        <v>272</v>
      </c>
      <c r="B24" s="20"/>
      <c r="C24" s="16">
        <f>B24</f>
        <v>0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f>SUM(B21:C24)</f>
        <v>246.92000000000002</v>
      </c>
    </row>
    <row r="28" spans="1:4" ht="15.75" thickBot="1" x14ac:dyDescent="0.3">
      <c r="A28" s="10"/>
      <c r="B28" s="13" t="s">
        <v>267</v>
      </c>
      <c r="C28" s="13" t="s">
        <v>268</v>
      </c>
      <c r="D28" s="9" t="s">
        <v>7</v>
      </c>
    </row>
    <row r="29" spans="1:4" ht="13.5" thickBot="1" x14ac:dyDescent="0.25">
      <c r="A29" s="25">
        <f>A21+7</f>
        <v>44494</v>
      </c>
    </row>
    <row r="30" spans="1:4" ht="15" x14ac:dyDescent="0.2">
      <c r="A30" s="12" t="s">
        <v>266</v>
      </c>
      <c r="B30" s="17">
        <v>129.99</v>
      </c>
      <c r="C30" s="18">
        <v>39</v>
      </c>
      <c r="D30" s="19"/>
    </row>
    <row r="31" spans="1:4" ht="15" x14ac:dyDescent="0.2">
      <c r="A31" s="12" t="s">
        <v>265</v>
      </c>
      <c r="B31" s="23">
        <v>49.71</v>
      </c>
      <c r="C31" s="16">
        <v>29.82</v>
      </c>
      <c r="D31" s="24"/>
    </row>
    <row r="32" spans="1:4" ht="15.75" thickBot="1" x14ac:dyDescent="0.25">
      <c r="A32" s="12" t="s">
        <v>272</v>
      </c>
      <c r="B32" s="20">
        <v>24.72</v>
      </c>
      <c r="C32" s="16"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f>SUM(B29:C32)</f>
        <v>297.96000000000004</v>
      </c>
    </row>
    <row r="36" spans="1:4" ht="15.75" thickBot="1" x14ac:dyDescent="0.3">
      <c r="A36" s="10"/>
      <c r="B36" s="13" t="s">
        <v>267</v>
      </c>
      <c r="C36" s="13" t="s">
        <v>268</v>
      </c>
      <c r="D36" s="9" t="s">
        <v>7</v>
      </c>
    </row>
    <row r="37" spans="1:4" ht="13.5" thickBot="1" x14ac:dyDescent="0.25">
      <c r="A37" s="25"/>
    </row>
    <row r="38" spans="1:4" ht="15" x14ac:dyDescent="0.2">
      <c r="A38" s="12" t="s">
        <v>266</v>
      </c>
      <c r="B38" s="17"/>
      <c r="C38" s="18">
        <f>B38*0.3</f>
        <v>0</v>
      </c>
      <c r="D38" s="19"/>
    </row>
    <row r="39" spans="1:4" ht="15" x14ac:dyDescent="0.2">
      <c r="A39" s="12" t="s">
        <v>265</v>
      </c>
      <c r="B39" s="23"/>
      <c r="C39" s="16">
        <f>B39</f>
        <v>0</v>
      </c>
      <c r="D39" s="24"/>
    </row>
    <row r="40" spans="1:4" ht="15.75" thickBot="1" x14ac:dyDescent="0.25">
      <c r="A40" s="12" t="s">
        <v>271</v>
      </c>
      <c r="B40" s="20"/>
      <c r="C40" s="16">
        <f>B40</f>
        <v>0</v>
      </c>
      <c r="D40" s="22"/>
    </row>
    <row r="41" spans="1:4" ht="13.5" thickBot="1" x14ac:dyDescent="0.25"/>
    <row r="42" spans="1:4" ht="13.5" thickBot="1" x14ac:dyDescent="0.25">
      <c r="D42" s="15">
        <f>SUM(B37:C40)</f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f>D42+D34+D26+D17+D9</f>
        <v>1139.21</v>
      </c>
    </row>
  </sheetData>
  <pageMargins left="0.7" right="0.7" top="0.75" bottom="0.75" header="0.3" footer="0.3"/>
  <pageSetup scale="96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D54D-B402-4D06-B848-6249284DB6D8}">
  <sheetPr>
    <pageSetUpPr fitToPage="1"/>
  </sheetPr>
  <dimension ref="A1:D44"/>
  <sheetViews>
    <sheetView workbookViewId="0">
      <selection activeCell="C14" sqref="C14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44501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44501</v>
      </c>
    </row>
    <row r="5" spans="1:4" ht="15.75" thickBot="1" x14ac:dyDescent="0.25">
      <c r="A5" s="12" t="s">
        <v>266</v>
      </c>
      <c r="B5" s="17">
        <v>129.99</v>
      </c>
      <c r="C5" s="18">
        <v>26</v>
      </c>
      <c r="D5" s="19"/>
    </row>
    <row r="6" spans="1:4" ht="15.75" thickBot="1" x14ac:dyDescent="0.25">
      <c r="A6" s="12" t="s">
        <v>265</v>
      </c>
      <c r="B6" s="17">
        <v>48.05</v>
      </c>
      <c r="C6" s="18">
        <v>28.83</v>
      </c>
      <c r="D6" s="24"/>
    </row>
    <row r="7" spans="1:4" ht="15.75" thickBot="1" x14ac:dyDescent="0.25">
      <c r="A7" s="12" t="s">
        <v>272</v>
      </c>
      <c r="B7" s="17">
        <v>24.72</v>
      </c>
      <c r="C7" s="18">
        <v>24.72</v>
      </c>
      <c r="D7" s="22"/>
    </row>
    <row r="8" spans="1:4" ht="13.5" thickBot="1" x14ac:dyDescent="0.25"/>
    <row r="9" spans="1:4" ht="13.5" thickBot="1" x14ac:dyDescent="0.25">
      <c r="D9" s="15">
        <v>282.31000000000006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v>44508</v>
      </c>
    </row>
    <row r="13" spans="1:4" ht="15.75" thickBot="1" x14ac:dyDescent="0.25">
      <c r="A13" s="12" t="s">
        <v>266</v>
      </c>
      <c r="B13" s="17">
        <v>129.99</v>
      </c>
      <c r="C13" s="18">
        <v>26</v>
      </c>
      <c r="D13" s="19"/>
    </row>
    <row r="14" spans="1:4" ht="15.75" thickBot="1" x14ac:dyDescent="0.25">
      <c r="A14" s="12" t="s">
        <v>265</v>
      </c>
      <c r="B14" s="17">
        <v>49.04</v>
      </c>
      <c r="C14" s="18">
        <v>29.43</v>
      </c>
      <c r="D14" s="24"/>
    </row>
    <row r="15" spans="1:4" ht="15.75" thickBot="1" x14ac:dyDescent="0.25">
      <c r="A15" s="12" t="s">
        <v>272</v>
      </c>
      <c r="B15" s="17">
        <v>24.72</v>
      </c>
      <c r="C15" s="18">
        <v>24.72</v>
      </c>
      <c r="D15" s="22"/>
    </row>
    <row r="16" spans="1:4" ht="13.5" thickBot="1" x14ac:dyDescent="0.25"/>
    <row r="17" spans="1:4" ht="13.5" thickBot="1" x14ac:dyDescent="0.25">
      <c r="D17" s="15">
        <v>283.89999999999998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v>44515</v>
      </c>
    </row>
    <row r="22" spans="1:4" ht="15.75" thickBot="1" x14ac:dyDescent="0.25">
      <c r="A22" s="12" t="s">
        <v>266</v>
      </c>
      <c r="B22" s="17">
        <v>129.99</v>
      </c>
      <c r="C22" s="18">
        <v>26</v>
      </c>
      <c r="D22" s="19"/>
    </row>
    <row r="23" spans="1:4" ht="15.75" thickBot="1" x14ac:dyDescent="0.25">
      <c r="A23" s="12" t="s">
        <v>265</v>
      </c>
      <c r="B23" s="17">
        <v>49.04</v>
      </c>
      <c r="C23" s="18">
        <v>29.43</v>
      </c>
      <c r="D23" s="24"/>
    </row>
    <row r="24" spans="1:4" ht="15.75" thickBot="1" x14ac:dyDescent="0.25">
      <c r="A24" s="12" t="s">
        <v>272</v>
      </c>
      <c r="B24" s="17">
        <v>24.72</v>
      </c>
      <c r="C24" s="18"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v>283.89999999999998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v>44522</v>
      </c>
    </row>
    <row r="30" spans="1:4" ht="15.75" thickBot="1" x14ac:dyDescent="0.25">
      <c r="A30" s="12" t="s">
        <v>266</v>
      </c>
      <c r="B30" s="17">
        <v>129.99</v>
      </c>
      <c r="C30" s="18">
        <v>26</v>
      </c>
      <c r="D30" s="19"/>
    </row>
    <row r="31" spans="1:4" ht="15.75" thickBot="1" x14ac:dyDescent="0.25">
      <c r="A31" s="12" t="s">
        <v>265</v>
      </c>
      <c r="B31" s="17">
        <v>49.04</v>
      </c>
      <c r="C31" s="18">
        <v>29.43</v>
      </c>
      <c r="D31" s="24"/>
    </row>
    <row r="32" spans="1:4" ht="15.75" thickBot="1" x14ac:dyDescent="0.25">
      <c r="A32" s="12" t="s">
        <v>272</v>
      </c>
      <c r="B32" s="17">
        <v>24.72</v>
      </c>
      <c r="C32" s="18"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v>283.89999999999998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>
        <v>44529</v>
      </c>
    </row>
    <row r="38" spans="1:4" ht="15.75" thickBot="1" x14ac:dyDescent="0.25">
      <c r="A38" s="12" t="s">
        <v>266</v>
      </c>
      <c r="B38" s="17">
        <v>129.99</v>
      </c>
      <c r="C38" s="18">
        <v>26</v>
      </c>
      <c r="D38" s="19"/>
    </row>
    <row r="39" spans="1:4" ht="15.75" thickBot="1" x14ac:dyDescent="0.25">
      <c r="A39" s="12" t="s">
        <v>265</v>
      </c>
      <c r="B39" s="17">
        <v>49.71</v>
      </c>
      <c r="C39" s="18">
        <v>29.82</v>
      </c>
      <c r="D39" s="24"/>
    </row>
    <row r="40" spans="1:4" ht="15.75" thickBot="1" x14ac:dyDescent="0.25">
      <c r="A40" s="12" t="s">
        <v>271</v>
      </c>
      <c r="B40" s="17">
        <v>24.72</v>
      </c>
      <c r="C40" s="18">
        <v>0.22</v>
      </c>
      <c r="D40" s="22"/>
    </row>
    <row r="41" spans="1:4" ht="13.5" thickBot="1" x14ac:dyDescent="0.25"/>
    <row r="42" spans="1:4" ht="13.5" thickBot="1" x14ac:dyDescent="0.25">
      <c r="D42" s="15">
        <v>260.46000000000004</v>
      </c>
    </row>
    <row r="43" spans="1:4" ht="13.5" thickBot="1" x14ac:dyDescent="0.25"/>
    <row r="44" spans="1:4" ht="13.5" thickBot="1" x14ac:dyDescent="0.25">
      <c r="C44" s="14" t="s">
        <v>269</v>
      </c>
      <c r="D44" s="15">
        <v>1394.4699999999998</v>
      </c>
    </row>
  </sheetData>
  <pageMargins left="0.7" right="0.7" top="0.75" bottom="0.75" header="0.3" footer="0.3"/>
  <pageSetup scale="97" orientation="portrait" horizontalDpi="1200" verticalDpi="1200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A965-E8CF-4013-A580-4F020A787CE6}">
  <sheetPr>
    <pageSetUpPr fitToPage="1"/>
  </sheetPr>
  <dimension ref="A1:D44"/>
  <sheetViews>
    <sheetView workbookViewId="0">
      <selection activeCell="C14" sqref="C14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44531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44536</v>
      </c>
    </row>
    <row r="5" spans="1:4" ht="15.75" thickBot="1" x14ac:dyDescent="0.25">
      <c r="A5" s="12" t="s">
        <v>266</v>
      </c>
      <c r="B5" s="17">
        <v>129.99</v>
      </c>
      <c r="C5" s="18">
        <v>26</v>
      </c>
      <c r="D5" s="19"/>
    </row>
    <row r="6" spans="1:4" ht="15.75" thickBot="1" x14ac:dyDescent="0.25">
      <c r="A6" s="12" t="s">
        <v>265</v>
      </c>
      <c r="B6" s="17">
        <v>50.37</v>
      </c>
      <c r="C6" s="18">
        <v>30.22</v>
      </c>
      <c r="D6" s="24"/>
    </row>
    <row r="7" spans="1:4" ht="15.75" thickBot="1" x14ac:dyDescent="0.25">
      <c r="A7" s="12" t="s">
        <v>272</v>
      </c>
      <c r="B7" s="17">
        <v>24.72</v>
      </c>
      <c r="C7" s="18">
        <v>24.72</v>
      </c>
      <c r="D7" s="22"/>
    </row>
    <row r="8" spans="1:4" ht="13.5" thickBot="1" x14ac:dyDescent="0.25"/>
    <row r="9" spans="1:4" ht="13.5" thickBot="1" x14ac:dyDescent="0.25">
      <c r="D9" s="15">
        <v>286.02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v>44543</v>
      </c>
    </row>
    <row r="13" spans="1:4" ht="15.75" thickBot="1" x14ac:dyDescent="0.25">
      <c r="A13" s="12" t="s">
        <v>266</v>
      </c>
      <c r="B13" s="17">
        <v>129.99</v>
      </c>
      <c r="C13" s="18">
        <v>26</v>
      </c>
      <c r="D13" s="19"/>
    </row>
    <row r="14" spans="1:4" ht="15.75" thickBot="1" x14ac:dyDescent="0.25">
      <c r="A14" s="12" t="s">
        <v>265</v>
      </c>
      <c r="B14" s="17">
        <v>49.71</v>
      </c>
      <c r="C14" s="18">
        <v>29.82</v>
      </c>
      <c r="D14" s="24"/>
    </row>
    <row r="15" spans="1:4" ht="15.75" thickBot="1" x14ac:dyDescent="0.25">
      <c r="A15" s="12" t="s">
        <v>272</v>
      </c>
      <c r="B15" s="17">
        <v>24.72</v>
      </c>
      <c r="C15" s="18">
        <v>24.72</v>
      </c>
      <c r="D15" s="22"/>
    </row>
    <row r="16" spans="1:4" ht="13.5" thickBot="1" x14ac:dyDescent="0.25"/>
    <row r="17" spans="1:4" ht="13.5" thickBot="1" x14ac:dyDescent="0.25">
      <c r="D17" s="15">
        <v>284.96000000000004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v>44550</v>
      </c>
    </row>
    <row r="22" spans="1:4" ht="15.75" thickBot="1" x14ac:dyDescent="0.25">
      <c r="A22" s="12" t="s">
        <v>266</v>
      </c>
      <c r="B22" s="17">
        <v>129.99</v>
      </c>
      <c r="C22" s="18">
        <v>26</v>
      </c>
      <c r="D22" s="19"/>
    </row>
    <row r="23" spans="1:4" ht="15.75" thickBot="1" x14ac:dyDescent="0.25">
      <c r="A23" s="12" t="s">
        <v>265</v>
      </c>
      <c r="B23" s="17">
        <v>48.71</v>
      </c>
      <c r="C23" s="18">
        <v>29.23</v>
      </c>
      <c r="D23" s="24"/>
    </row>
    <row r="24" spans="1:4" ht="15.75" thickBot="1" x14ac:dyDescent="0.25">
      <c r="A24" s="12" t="s">
        <v>272</v>
      </c>
      <c r="B24" s="17">
        <v>24.72</v>
      </c>
      <c r="C24" s="18"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v>283.37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v>44557</v>
      </c>
    </row>
    <row r="30" spans="1:4" ht="15.75" thickBot="1" x14ac:dyDescent="0.25">
      <c r="A30" s="12" t="s">
        <v>266</v>
      </c>
      <c r="B30" s="17">
        <v>129.99</v>
      </c>
      <c r="C30" s="18">
        <v>26</v>
      </c>
      <c r="D30" s="19"/>
    </row>
    <row r="31" spans="1:4" ht="15.75" thickBot="1" x14ac:dyDescent="0.25">
      <c r="A31" s="12" t="s">
        <v>265</v>
      </c>
      <c r="B31" s="17">
        <v>49.27</v>
      </c>
      <c r="C31" s="18">
        <v>29.56</v>
      </c>
      <c r="D31" s="24"/>
    </row>
    <row r="32" spans="1:4" ht="15.75" thickBot="1" x14ac:dyDescent="0.25">
      <c r="A32" s="12" t="s">
        <v>272</v>
      </c>
      <c r="B32" s="17">
        <v>24.72</v>
      </c>
      <c r="C32" s="18"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v>284.26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 t="s">
        <v>273</v>
      </c>
    </row>
    <row r="38" spans="1:4" ht="15.75" thickBot="1" x14ac:dyDescent="0.25">
      <c r="A38" s="12" t="s">
        <v>266</v>
      </c>
      <c r="B38" s="17">
        <v>0</v>
      </c>
      <c r="C38" s="18">
        <v>0</v>
      </c>
      <c r="D38" s="19"/>
    </row>
    <row r="39" spans="1:4" ht="15.75" thickBot="1" x14ac:dyDescent="0.25">
      <c r="A39" s="12" t="s">
        <v>265</v>
      </c>
      <c r="B39" s="17">
        <v>0</v>
      </c>
      <c r="C39" s="18">
        <v>0</v>
      </c>
      <c r="D39" s="24"/>
    </row>
    <row r="40" spans="1:4" ht="15.75" thickBot="1" x14ac:dyDescent="0.25">
      <c r="A40" s="12" t="s">
        <v>271</v>
      </c>
      <c r="B40" s="17">
        <v>0</v>
      </c>
      <c r="C40" s="18">
        <v>0</v>
      </c>
      <c r="D40" s="22"/>
    </row>
    <row r="41" spans="1:4" ht="13.5" thickBot="1" x14ac:dyDescent="0.25"/>
    <row r="42" spans="1:4" ht="13.5" thickBot="1" x14ac:dyDescent="0.25">
      <c r="D42" s="15"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v>1138.6100000000001</v>
      </c>
    </row>
  </sheetData>
  <pageMargins left="0.7" right="0.7" top="0.75" bottom="0.75" header="0.3" footer="0.3"/>
  <pageSetup scale="97" orientation="portrait" horizontalDpi="1200" verticalDpi="1200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DA08-6CD2-4A12-A05A-94639ACA743A}">
  <sheetPr>
    <pageSetUpPr fitToPage="1"/>
  </sheetPr>
  <dimension ref="A1:D44"/>
  <sheetViews>
    <sheetView workbookViewId="0">
      <selection activeCell="B5" sqref="B5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44562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44564</v>
      </c>
    </row>
    <row r="5" spans="1:4" ht="15.75" thickBot="1" x14ac:dyDescent="0.25">
      <c r="A5" s="12" t="s">
        <v>266</v>
      </c>
      <c r="B5" s="17">
        <v>129.99</v>
      </c>
      <c r="C5" s="18">
        <v>26</v>
      </c>
      <c r="D5" s="19"/>
    </row>
    <row r="6" spans="1:4" ht="15.75" thickBot="1" x14ac:dyDescent="0.25">
      <c r="A6" s="12" t="s">
        <v>265</v>
      </c>
      <c r="B6" s="17">
        <v>50.14</v>
      </c>
      <c r="C6" s="18">
        <v>30.09</v>
      </c>
      <c r="D6" s="24"/>
    </row>
    <row r="7" spans="1:4" ht="15.75" thickBot="1" x14ac:dyDescent="0.25">
      <c r="A7" s="12" t="s">
        <v>272</v>
      </c>
      <c r="B7" s="17">
        <v>24.72</v>
      </c>
      <c r="C7" s="18">
        <v>24.72</v>
      </c>
      <c r="D7" s="22"/>
    </row>
    <row r="8" spans="1:4" ht="13.5" thickBot="1" x14ac:dyDescent="0.25"/>
    <row r="9" spans="1:4" ht="13.5" thickBot="1" x14ac:dyDescent="0.25">
      <c r="D9" s="15">
        <v>285.65999999999997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v>44571</v>
      </c>
    </row>
    <row r="13" spans="1:4" ht="15.75" thickBot="1" x14ac:dyDescent="0.25">
      <c r="A13" s="12" t="s">
        <v>266</v>
      </c>
      <c r="B13" s="17">
        <v>129.99</v>
      </c>
      <c r="C13" s="18">
        <v>26</v>
      </c>
      <c r="D13" s="19"/>
    </row>
    <row r="14" spans="1:4" ht="15.75" thickBot="1" x14ac:dyDescent="0.25">
      <c r="A14" s="12" t="s">
        <v>265</v>
      </c>
      <c r="B14" s="17">
        <v>49.71</v>
      </c>
      <c r="C14" s="18">
        <v>29.82</v>
      </c>
      <c r="D14" s="24"/>
    </row>
    <row r="15" spans="1:4" ht="15.75" thickBot="1" x14ac:dyDescent="0.25">
      <c r="A15" s="12" t="s">
        <v>272</v>
      </c>
      <c r="B15" s="17">
        <v>24.72</v>
      </c>
      <c r="C15" s="18">
        <v>24.72</v>
      </c>
      <c r="D15" s="22"/>
    </row>
    <row r="16" spans="1:4" ht="13.5" thickBot="1" x14ac:dyDescent="0.25"/>
    <row r="17" spans="1:4" ht="13.5" thickBot="1" x14ac:dyDescent="0.25">
      <c r="D17" s="15">
        <v>284.96000000000004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v>44578</v>
      </c>
    </row>
    <row r="22" spans="1:4" ht="15.75" thickBot="1" x14ac:dyDescent="0.25">
      <c r="A22" s="12" t="s">
        <v>266</v>
      </c>
      <c r="B22" s="17">
        <v>129.99</v>
      </c>
      <c r="C22" s="18">
        <v>26</v>
      </c>
      <c r="D22" s="19"/>
    </row>
    <row r="23" spans="1:4" ht="15.75" thickBot="1" x14ac:dyDescent="0.25">
      <c r="A23" s="12" t="s">
        <v>265</v>
      </c>
      <c r="B23" s="17">
        <v>49.71</v>
      </c>
      <c r="C23" s="18">
        <v>29.82</v>
      </c>
      <c r="D23" s="24"/>
    </row>
    <row r="24" spans="1:4" ht="15.75" thickBot="1" x14ac:dyDescent="0.25">
      <c r="A24" s="12" t="s">
        <v>272</v>
      </c>
      <c r="B24" s="17">
        <v>24.72</v>
      </c>
      <c r="C24" s="18">
        <v>24.72</v>
      </c>
      <c r="D24" s="22"/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v>284.96000000000004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v>44585</v>
      </c>
    </row>
    <row r="30" spans="1:4" ht="15.75" thickBot="1" x14ac:dyDescent="0.25">
      <c r="A30" s="12" t="s">
        <v>266</v>
      </c>
      <c r="B30" s="17">
        <v>120.24</v>
      </c>
      <c r="C30" s="18">
        <v>24.05</v>
      </c>
      <c r="D30" s="19"/>
    </row>
    <row r="31" spans="1:4" ht="15.75" thickBot="1" x14ac:dyDescent="0.25">
      <c r="A31" s="12" t="s">
        <v>265</v>
      </c>
      <c r="B31" s="17">
        <v>49.71</v>
      </c>
      <c r="C31" s="18">
        <v>29.82</v>
      </c>
      <c r="D31" s="24"/>
    </row>
    <row r="32" spans="1:4" ht="15.75" thickBot="1" x14ac:dyDescent="0.25">
      <c r="A32" s="12" t="s">
        <v>272</v>
      </c>
      <c r="B32" s="17">
        <v>24.72</v>
      </c>
      <c r="C32" s="18">
        <v>24.72</v>
      </c>
      <c r="D32" s="22"/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v>273.26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>
        <v>44592</v>
      </c>
    </row>
    <row r="38" spans="1:4" ht="15.75" thickBot="1" x14ac:dyDescent="0.25">
      <c r="A38" s="12" t="s">
        <v>266</v>
      </c>
      <c r="B38" s="17">
        <v>129.99</v>
      </c>
      <c r="C38" s="18">
        <v>26</v>
      </c>
      <c r="D38" s="19"/>
    </row>
    <row r="39" spans="1:4" ht="15.75" thickBot="1" x14ac:dyDescent="0.25">
      <c r="A39" s="12" t="s">
        <v>265</v>
      </c>
      <c r="B39" s="17">
        <v>49.48</v>
      </c>
      <c r="C39" s="18">
        <v>29.69</v>
      </c>
      <c r="D39" s="24"/>
    </row>
    <row r="40" spans="1:4" ht="15.75" thickBot="1" x14ac:dyDescent="0.25">
      <c r="A40" s="12" t="s">
        <v>271</v>
      </c>
      <c r="B40" s="17">
        <v>24.72</v>
      </c>
      <c r="C40" s="18">
        <v>24.72</v>
      </c>
      <c r="D40" s="22"/>
    </row>
    <row r="41" spans="1:4" ht="13.5" thickBot="1" x14ac:dyDescent="0.25"/>
    <row r="42" spans="1:4" ht="13.5" thickBot="1" x14ac:dyDescent="0.25">
      <c r="D42" s="15">
        <v>284.60000000000002</v>
      </c>
    </row>
    <row r="43" spans="1:4" ht="13.5" thickBot="1" x14ac:dyDescent="0.25"/>
    <row r="44" spans="1:4" ht="13.5" thickBot="1" x14ac:dyDescent="0.25">
      <c r="C44" s="14" t="s">
        <v>269</v>
      </c>
      <c r="D44" s="15">
        <v>1413.44</v>
      </c>
    </row>
  </sheetData>
  <pageMargins left="0.7" right="0.7" top="0.75" bottom="0.75" header="0.3" footer="0.3"/>
  <pageSetup scale="96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5C1F-6574-492D-B7EF-51E1E88C4433}">
  <sheetPr>
    <pageSetUpPr fitToPage="1"/>
  </sheetPr>
  <dimension ref="A1:D44"/>
  <sheetViews>
    <sheetView topLeftCell="A4" workbookViewId="0">
      <selection activeCell="I45" sqref="I45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f>'Number Input'!B2</f>
        <v>46023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f>B2+IF(2 &lt; WEEKDAY(B2), 7 - WEEKDAY(B2) + 2, 2 - WEEKDAY(B2))</f>
        <v>46027</v>
      </c>
    </row>
    <row r="5" spans="1:4" ht="15.75" thickBot="1" x14ac:dyDescent="0.25">
      <c r="A5" s="12" t="s">
        <v>266</v>
      </c>
      <c r="B5" s="17" t="e">
        <f>'Number Input'!#REF!</f>
        <v>#REF!</v>
      </c>
      <c r="C5" s="18" t="e">
        <f>IF(ROUND(('Number Input'!#REF!*0.03),2)&gt;B5,B5,(ROUND(('Number Input'!#REF!*0.03),2)))</f>
        <v>#REF!</v>
      </c>
      <c r="D5" s="19" t="e">
        <f>SUM(B5:C5)</f>
        <v>#REF!</v>
      </c>
    </row>
    <row r="6" spans="1:4" ht="15.75" thickBot="1" x14ac:dyDescent="0.25">
      <c r="A6" s="12" t="s">
        <v>265</v>
      </c>
      <c r="B6" s="17" t="e">
        <f>'Number Input'!#REF!</f>
        <v>#REF!</v>
      </c>
      <c r="C6" s="18" t="e">
        <f>IF(ROUND(('Number Input'!#REF!*0.03),2)&gt;B6,B6,(ROUND(('Number Input'!#REF!*0.03),2)))</f>
        <v>#REF!</v>
      </c>
      <c r="D6" s="19" t="e">
        <f>SUM(B6:C6)</f>
        <v>#REF!</v>
      </c>
    </row>
    <row r="7" spans="1:4" ht="15" x14ac:dyDescent="0.2">
      <c r="A7" s="12" t="s">
        <v>272</v>
      </c>
      <c r="B7" s="17" t="e">
        <f>'Number Input'!#REF!</f>
        <v>#REF!</v>
      </c>
      <c r="C7" s="18" t="e">
        <f>IF(ROUND(('Number Input'!#REF!*0.03),2)&gt;B7,B7,(ROUND(('Number Input'!#REF!*0.03),2)))</f>
        <v>#REF!</v>
      </c>
      <c r="D7" s="19" t="e">
        <f>SUM(B7:C7)</f>
        <v>#REF!</v>
      </c>
    </row>
    <row r="8" spans="1:4" ht="13.5" thickBot="1" x14ac:dyDescent="0.25"/>
    <row r="9" spans="1:4" ht="13.5" thickBot="1" x14ac:dyDescent="0.25">
      <c r="D9" s="15" t="e">
        <f>SUM(B5:C7)</f>
        <v>#REF!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f>A4+7</f>
        <v>46034</v>
      </c>
    </row>
    <row r="13" spans="1:4" ht="15.75" thickBot="1" x14ac:dyDescent="0.25">
      <c r="A13" s="12" t="s">
        <v>266</v>
      </c>
      <c r="B13" s="17">
        <f>'Number Input'!B20</f>
        <v>140.49</v>
      </c>
      <c r="C13" s="18">
        <f>IF(ROUND(('Number Input'!C20*0.03),2)&gt;B13,B13,(ROUND(('Number Input'!C20*0.03),2)))</f>
        <v>28.1</v>
      </c>
      <c r="D13" s="19">
        <f>SUM(B13:C13)</f>
        <v>168.59</v>
      </c>
    </row>
    <row r="14" spans="1:4" ht="15.75" thickBot="1" x14ac:dyDescent="0.25">
      <c r="A14" s="12" t="s">
        <v>265</v>
      </c>
      <c r="B14" s="17">
        <f>'Number Input'!B21</f>
        <v>53.69</v>
      </c>
      <c r="C14" s="18">
        <f>IF(ROUND(('Number Input'!C21*0.03),2)&gt;B14,B14,(ROUND(('Number Input'!C21*0.03),2)))</f>
        <v>32.22</v>
      </c>
      <c r="D14" s="19">
        <f>SUM(B14:C14)</f>
        <v>85.91</v>
      </c>
    </row>
    <row r="15" spans="1:4" ht="15" x14ac:dyDescent="0.2">
      <c r="A15" s="12" t="s">
        <v>272</v>
      </c>
      <c r="B15" s="17" t="e">
        <f>'Number Input'!#REF!</f>
        <v>#REF!</v>
      </c>
      <c r="C15" s="18" t="e">
        <f>IF(ROUND(('Number Input'!#REF!*0.03),2)&gt;B15,B15,(ROUND(('Number Input'!#REF!*0.03),2)))</f>
        <v>#REF!</v>
      </c>
      <c r="D15" s="19" t="e">
        <f>SUM(B15:C15)</f>
        <v>#REF!</v>
      </c>
    </row>
    <row r="16" spans="1:4" ht="13.5" thickBot="1" x14ac:dyDescent="0.25"/>
    <row r="17" spans="1:4" ht="13.5" thickBot="1" x14ac:dyDescent="0.25">
      <c r="D17" s="15" t="e">
        <f>SUM(B13:C15)</f>
        <v>#REF!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f>A12+7</f>
        <v>46041</v>
      </c>
    </row>
    <row r="22" spans="1:4" ht="15.75" thickBot="1" x14ac:dyDescent="0.25">
      <c r="A22" s="12" t="s">
        <v>266</v>
      </c>
      <c r="B22" s="17">
        <f>'Number Input'!B28</f>
        <v>140.49</v>
      </c>
      <c r="C22" s="18">
        <f>IF(ROUND(('Number Input'!C28*0.03),2)&gt;B22,B22,(ROUND(('Number Input'!C28*0.03),2)))</f>
        <v>28.1</v>
      </c>
      <c r="D22" s="19">
        <f>SUM(B22:C22)</f>
        <v>168.59</v>
      </c>
    </row>
    <row r="23" spans="1:4" ht="15.75" thickBot="1" x14ac:dyDescent="0.25">
      <c r="A23" s="12" t="s">
        <v>265</v>
      </c>
      <c r="B23" s="17">
        <f>'Number Input'!B29</f>
        <v>56.52</v>
      </c>
      <c r="C23" s="18">
        <f>IF(ROUND(('Number Input'!C29*0.03),2)&gt;B23,B23,(ROUND(('Number Input'!C29*0.03),2)))</f>
        <v>33.909999999999997</v>
      </c>
      <c r="D23" s="19">
        <f>SUM(B23:C23)</f>
        <v>90.43</v>
      </c>
    </row>
    <row r="24" spans="1:4" ht="15" x14ac:dyDescent="0.2">
      <c r="A24" s="12" t="s">
        <v>272</v>
      </c>
      <c r="B24" s="17" t="e">
        <f>'Number Input'!#REF!</f>
        <v>#REF!</v>
      </c>
      <c r="C24" s="18" t="e">
        <f>IF(ROUND(('Number Input'!#REF!*0.03),2)&gt;B24,B24,(ROUND(('Number Input'!#REF!*0.03),2)))</f>
        <v>#REF!</v>
      </c>
      <c r="D24" s="19" t="e">
        <f>SUM(B24:C24)</f>
        <v>#REF!</v>
      </c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 t="e">
        <f>SUM(B21:C24)</f>
        <v>#REF!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f>A21+7</f>
        <v>46048</v>
      </c>
    </row>
    <row r="30" spans="1:4" ht="15.75" thickBot="1" x14ac:dyDescent="0.25">
      <c r="A30" s="12" t="s">
        <v>266</v>
      </c>
      <c r="B30" s="17">
        <f>'Number Input'!B35</f>
        <v>0</v>
      </c>
      <c r="C30" s="18">
        <f>IF(ROUND(('Number Input'!C35*0.03),2)&gt;B30,B30,(ROUND(('Number Input'!C35*0.03),2)))</f>
        <v>0</v>
      </c>
      <c r="D30" s="19">
        <f>SUM(B30:C30)</f>
        <v>0</v>
      </c>
    </row>
    <row r="31" spans="1:4" ht="15.75" thickBot="1" x14ac:dyDescent="0.25">
      <c r="A31" s="12" t="s">
        <v>265</v>
      </c>
      <c r="B31" s="17">
        <f>'Number Input'!B36</f>
        <v>140.49</v>
      </c>
      <c r="C31" s="18">
        <f>IF(ROUND(('Number Input'!C36*0.03),2)&gt;B31,B31,(ROUND(('Number Input'!C36*0.03),2)))</f>
        <v>28.1</v>
      </c>
      <c r="D31" s="19">
        <f>SUM(B31:C31)</f>
        <v>168.59</v>
      </c>
    </row>
    <row r="32" spans="1:4" ht="15" x14ac:dyDescent="0.2">
      <c r="A32" s="12" t="s">
        <v>272</v>
      </c>
      <c r="B32" s="17" t="e">
        <f>'Number Input'!#REF!</f>
        <v>#REF!</v>
      </c>
      <c r="C32" s="18" t="e">
        <f>IF(ROUND(('Number Input'!#REF!*0.03),2)&gt;B32,B32,(ROUND(('Number Input'!#REF!*0.03),2)))</f>
        <v>#REF!</v>
      </c>
      <c r="D32" s="19" t="e">
        <f>SUM(B32:C32)</f>
        <v>#REF!</v>
      </c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 t="e">
        <f>SUM(B29:C32)</f>
        <v>#REF!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 t="str">
        <f>IF(MONTH(B2)=MONTH(A29+7),A29+7,"No Week 5 Paycheck")</f>
        <v>No Week 5 Paycheck</v>
      </c>
    </row>
    <row r="38" spans="1:4" ht="15.75" thickBot="1" x14ac:dyDescent="0.25">
      <c r="A38" s="12" t="s">
        <v>266</v>
      </c>
      <c r="B38" s="17" t="e">
        <f>'Number Input'!#REF!</f>
        <v>#REF!</v>
      </c>
      <c r="C38" s="18" t="e">
        <f>IF(ROUND(('Number Input'!#REF!*0.03),2)&gt;B38,B38,(ROUND(('Number Input'!#REF!*0.03),2)))</f>
        <v>#REF!</v>
      </c>
      <c r="D38" s="19" t="e">
        <f>SUM(B38:C38)</f>
        <v>#REF!</v>
      </c>
    </row>
    <row r="39" spans="1:4" ht="15.75" thickBot="1" x14ac:dyDescent="0.25">
      <c r="A39" s="12" t="s">
        <v>265</v>
      </c>
      <c r="B39" s="17" t="e">
        <f>'Number Input'!#REF!</f>
        <v>#REF!</v>
      </c>
      <c r="C39" s="18" t="e">
        <f>IF(ROUND(('Number Input'!#REF!*0.03),2)&gt;B39,B39,(ROUND(('Number Input'!#REF!*0.03),2)))</f>
        <v>#REF!</v>
      </c>
      <c r="D39" s="19" t="e">
        <f>SUM(B39:C39)</f>
        <v>#REF!</v>
      </c>
    </row>
    <row r="40" spans="1:4" ht="15" x14ac:dyDescent="0.2">
      <c r="A40" s="12" t="s">
        <v>271</v>
      </c>
      <c r="B40" s="17" t="e">
        <f>'Number Input'!#REF!</f>
        <v>#REF!</v>
      </c>
      <c r="C40" s="18" t="e">
        <f>IF(ROUND(('Number Input'!#REF!*0.03),2)&gt;B40,B40,(ROUND(('Number Input'!#REF!*0.03),2)))</f>
        <v>#REF!</v>
      </c>
      <c r="D40" s="19" t="e">
        <f>SUM(B40:C40)</f>
        <v>#REF!</v>
      </c>
    </row>
    <row r="41" spans="1:4" ht="13.5" thickBot="1" x14ac:dyDescent="0.25"/>
    <row r="42" spans="1:4" ht="13.5" thickBot="1" x14ac:dyDescent="0.25">
      <c r="D42" s="15" t="e">
        <f>SUM(B37:C40)</f>
        <v>#REF!</v>
      </c>
    </row>
    <row r="43" spans="1:4" ht="13.5" thickBot="1" x14ac:dyDescent="0.25"/>
    <row r="44" spans="1:4" ht="13.5" thickBot="1" x14ac:dyDescent="0.25">
      <c r="C44" s="14" t="s">
        <v>269</v>
      </c>
      <c r="D44" s="15" t="e">
        <f>D42+D34+D26+D17+D9</f>
        <v>#REF!</v>
      </c>
    </row>
  </sheetData>
  <pageMargins left="0.7" right="0.7" top="0.75" bottom="0.75" header="0.3" footer="0.3"/>
  <pageSetup scale="96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CA04-1D95-4CCF-AFAB-8B9ED71136E8}">
  <sheetPr>
    <pageSetUpPr fitToPage="1"/>
  </sheetPr>
  <dimension ref="A1:D44"/>
  <sheetViews>
    <sheetView topLeftCell="A13" workbookViewId="0">
      <selection sqref="A1:IV655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f>'Number Input'!B2</f>
        <v>46023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f>B2+IF(2 &lt; WEEKDAY(B2), 7 - WEEKDAY(B2) + 2, 2 - WEEKDAY(B2))</f>
        <v>46027</v>
      </c>
    </row>
    <row r="5" spans="1:4" ht="15.75" thickBot="1" x14ac:dyDescent="0.25">
      <c r="A5" s="12" t="s">
        <v>266</v>
      </c>
      <c r="B5" s="17" t="e">
        <f>'Number Input'!#REF!</f>
        <v>#REF!</v>
      </c>
      <c r="C5" s="18" t="e">
        <f>IF(ROUND(('Number Input'!#REF!*0.03),2)&gt;B5,B5,(ROUND(('Number Input'!#REF!*0.03),2)))</f>
        <v>#REF!</v>
      </c>
      <c r="D5" s="19" t="e">
        <f>SUM(B5:C5)</f>
        <v>#REF!</v>
      </c>
    </row>
    <row r="6" spans="1:4" ht="15.75" thickBot="1" x14ac:dyDescent="0.25">
      <c r="A6" s="12" t="s">
        <v>265</v>
      </c>
      <c r="B6" s="17" t="e">
        <f>'Number Input'!#REF!</f>
        <v>#REF!</v>
      </c>
      <c r="C6" s="18" t="e">
        <f>IF(ROUND(('Number Input'!#REF!*0.03),2)&gt;B6,B6,(ROUND(('Number Input'!#REF!*0.03),2)))</f>
        <v>#REF!</v>
      </c>
      <c r="D6" s="19" t="e">
        <f>SUM(B6:C6)</f>
        <v>#REF!</v>
      </c>
    </row>
    <row r="7" spans="1:4" ht="15" x14ac:dyDescent="0.2">
      <c r="A7" s="12" t="s">
        <v>272</v>
      </c>
      <c r="B7" s="17" t="e">
        <f>'Number Input'!#REF!</f>
        <v>#REF!</v>
      </c>
      <c r="C7" s="18" t="e">
        <f>IF(ROUND(('Number Input'!#REF!*0.03),2)&gt;B7,B7,(ROUND(('Number Input'!#REF!*0.03),2)))</f>
        <v>#REF!</v>
      </c>
      <c r="D7" s="19" t="e">
        <f>SUM(B7:C7)</f>
        <v>#REF!</v>
      </c>
    </row>
    <row r="8" spans="1:4" ht="13.5" thickBot="1" x14ac:dyDescent="0.25"/>
    <row r="9" spans="1:4" ht="13.5" thickBot="1" x14ac:dyDescent="0.25">
      <c r="D9" s="15" t="e">
        <f>SUM(B5:C7)</f>
        <v>#REF!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f>A4+7</f>
        <v>46034</v>
      </c>
    </row>
    <row r="13" spans="1:4" ht="15.75" thickBot="1" x14ac:dyDescent="0.25">
      <c r="A13" s="12" t="s">
        <v>266</v>
      </c>
      <c r="B13" s="17">
        <f>'Number Input'!B20</f>
        <v>140.49</v>
      </c>
      <c r="C13" s="18">
        <f>IF(ROUND(('Number Input'!C20*0.03),2)&gt;B13,B13,(ROUND(('Number Input'!C20*0.03),2)))</f>
        <v>28.1</v>
      </c>
      <c r="D13" s="19">
        <f>SUM(B13:C13)</f>
        <v>168.59</v>
      </c>
    </row>
    <row r="14" spans="1:4" ht="15.75" thickBot="1" x14ac:dyDescent="0.25">
      <c r="A14" s="12" t="s">
        <v>265</v>
      </c>
      <c r="B14" s="17">
        <f>'Number Input'!B21</f>
        <v>53.69</v>
      </c>
      <c r="C14" s="18">
        <f>IF(ROUND(('Number Input'!C21*0.03),2)&gt;B14,B14,(ROUND(('Number Input'!C21*0.03),2)))</f>
        <v>32.22</v>
      </c>
      <c r="D14" s="19">
        <f>SUM(B14:C14)</f>
        <v>85.91</v>
      </c>
    </row>
    <row r="15" spans="1:4" ht="15" x14ac:dyDescent="0.2">
      <c r="A15" s="12" t="s">
        <v>272</v>
      </c>
      <c r="B15" s="17" t="e">
        <f>'Number Input'!#REF!</f>
        <v>#REF!</v>
      </c>
      <c r="C15" s="18" t="e">
        <f>IF(ROUND(('Number Input'!#REF!*0.03),2)&gt;B15,B15,(ROUND(('Number Input'!#REF!*0.03),2)))</f>
        <v>#REF!</v>
      </c>
      <c r="D15" s="19" t="e">
        <f>SUM(B15:C15)</f>
        <v>#REF!</v>
      </c>
    </row>
    <row r="16" spans="1:4" ht="13.5" thickBot="1" x14ac:dyDescent="0.25"/>
    <row r="17" spans="1:4" ht="13.5" thickBot="1" x14ac:dyDescent="0.25">
      <c r="D17" s="15" t="e">
        <f>SUM(B13:C15)</f>
        <v>#REF!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f>A12+7</f>
        <v>46041</v>
      </c>
    </row>
    <row r="22" spans="1:4" ht="15.75" thickBot="1" x14ac:dyDescent="0.25">
      <c r="A22" s="12" t="s">
        <v>266</v>
      </c>
      <c r="B22" s="17">
        <f>'Number Input'!B28</f>
        <v>140.49</v>
      </c>
      <c r="C22" s="18">
        <f>IF(ROUND(('Number Input'!C28*0.03),2)&gt;B22,B22,(ROUND(('Number Input'!C28*0.03),2)))</f>
        <v>28.1</v>
      </c>
      <c r="D22" s="19">
        <f>SUM(B22:C22)</f>
        <v>168.59</v>
      </c>
    </row>
    <row r="23" spans="1:4" ht="15.75" thickBot="1" x14ac:dyDescent="0.25">
      <c r="A23" s="12" t="s">
        <v>265</v>
      </c>
      <c r="B23" s="17">
        <f>'Number Input'!B29</f>
        <v>56.52</v>
      </c>
      <c r="C23" s="18">
        <f>IF(ROUND(('Number Input'!C29*0.03),2)&gt;B23,B23,(ROUND(('Number Input'!C29*0.03),2)))</f>
        <v>33.909999999999997</v>
      </c>
      <c r="D23" s="19">
        <f>SUM(B23:C23)</f>
        <v>90.43</v>
      </c>
    </row>
    <row r="24" spans="1:4" ht="15" x14ac:dyDescent="0.2">
      <c r="A24" s="12" t="s">
        <v>272</v>
      </c>
      <c r="B24" s="17" t="e">
        <f>'Number Input'!#REF!</f>
        <v>#REF!</v>
      </c>
      <c r="C24" s="18" t="e">
        <f>IF(ROUND(('Number Input'!#REF!*0.03),2)&gt;B24,B24,(ROUND(('Number Input'!#REF!*0.03),2)))</f>
        <v>#REF!</v>
      </c>
      <c r="D24" s="19" t="e">
        <f>SUM(B24:C24)</f>
        <v>#REF!</v>
      </c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 t="e">
        <f>SUM(B21:C24)</f>
        <v>#REF!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f>A21+7</f>
        <v>46048</v>
      </c>
    </row>
    <row r="30" spans="1:4" ht="15.75" thickBot="1" x14ac:dyDescent="0.25">
      <c r="A30" s="12" t="s">
        <v>266</v>
      </c>
      <c r="B30" s="17">
        <f>'Number Input'!B35</f>
        <v>0</v>
      </c>
      <c r="C30" s="18">
        <f>IF(ROUND(('Number Input'!C35*0.03),2)&gt;B30,B30,(ROUND(('Number Input'!C35*0.03),2)))</f>
        <v>0</v>
      </c>
      <c r="D30" s="19">
        <f>SUM(B30:C30)</f>
        <v>0</v>
      </c>
    </row>
    <row r="31" spans="1:4" ht="15.75" thickBot="1" x14ac:dyDescent="0.25">
      <c r="A31" s="12" t="s">
        <v>265</v>
      </c>
      <c r="B31" s="17">
        <f>'Number Input'!B36</f>
        <v>140.49</v>
      </c>
      <c r="C31" s="18">
        <f>IF(ROUND(('Number Input'!C36*0.03),2)&gt;B31,B31,(ROUND(('Number Input'!C36*0.03),2)))</f>
        <v>28.1</v>
      </c>
      <c r="D31" s="19">
        <f>SUM(B31:C31)</f>
        <v>168.59</v>
      </c>
    </row>
    <row r="32" spans="1:4" ht="15" x14ac:dyDescent="0.2">
      <c r="A32" s="12" t="s">
        <v>272</v>
      </c>
      <c r="B32" s="17" t="e">
        <f>'Number Input'!#REF!</f>
        <v>#REF!</v>
      </c>
      <c r="C32" s="18" t="e">
        <f>IF(ROUND(('Number Input'!#REF!*0.03),2)&gt;B32,B32,(ROUND(('Number Input'!#REF!*0.03),2)))</f>
        <v>#REF!</v>
      </c>
      <c r="D32" s="19" t="e">
        <f>SUM(B32:C32)</f>
        <v>#REF!</v>
      </c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 t="e">
        <f>SUM(B29:C32)</f>
        <v>#REF!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 t="str">
        <f>IF(MONTH(B2)=MONTH(A29+7),A29+7,"No Week 5 Paycheck")</f>
        <v>No Week 5 Paycheck</v>
      </c>
    </row>
    <row r="38" spans="1:4" ht="15.75" thickBot="1" x14ac:dyDescent="0.25">
      <c r="A38" s="12" t="s">
        <v>266</v>
      </c>
      <c r="B38" s="17" t="e">
        <f>'Number Input'!#REF!</f>
        <v>#REF!</v>
      </c>
      <c r="C38" s="18" t="e">
        <f>IF(ROUND(('Number Input'!#REF!*0.03),2)&gt;B38,B38,(ROUND(('Number Input'!#REF!*0.03),2)))</f>
        <v>#REF!</v>
      </c>
      <c r="D38" s="19" t="e">
        <f>SUM(B38:C38)</f>
        <v>#REF!</v>
      </c>
    </row>
    <row r="39" spans="1:4" ht="15.75" thickBot="1" x14ac:dyDescent="0.25">
      <c r="A39" s="12" t="s">
        <v>265</v>
      </c>
      <c r="B39" s="17" t="e">
        <f>'Number Input'!#REF!</f>
        <v>#REF!</v>
      </c>
      <c r="C39" s="18" t="e">
        <f>IF(ROUND(('Number Input'!#REF!*0.03),2)&gt;B39,B39,(ROUND(('Number Input'!#REF!*0.03),2)))</f>
        <v>#REF!</v>
      </c>
      <c r="D39" s="19" t="e">
        <f>SUM(B39:C39)</f>
        <v>#REF!</v>
      </c>
    </row>
    <row r="40" spans="1:4" ht="15" x14ac:dyDescent="0.2">
      <c r="A40" s="12" t="s">
        <v>271</v>
      </c>
      <c r="B40" s="17" t="e">
        <f>'Number Input'!#REF!</f>
        <v>#REF!</v>
      </c>
      <c r="C40" s="18" t="e">
        <f>IF(ROUND(('Number Input'!#REF!*0.03),2)&gt;B40,B40,(ROUND(('Number Input'!#REF!*0.03),2)))</f>
        <v>#REF!</v>
      </c>
      <c r="D40" s="19" t="e">
        <f>SUM(B40:C40)</f>
        <v>#REF!</v>
      </c>
    </row>
    <row r="41" spans="1:4" ht="13.5" thickBot="1" x14ac:dyDescent="0.25"/>
    <row r="42" spans="1:4" ht="13.5" thickBot="1" x14ac:dyDescent="0.25">
      <c r="D42" s="15" t="e">
        <f>SUM(B37:C40)</f>
        <v>#REF!</v>
      </c>
    </row>
    <row r="43" spans="1:4" ht="13.5" thickBot="1" x14ac:dyDescent="0.25"/>
    <row r="44" spans="1:4" ht="13.5" thickBot="1" x14ac:dyDescent="0.25">
      <c r="C44" s="14" t="s">
        <v>269</v>
      </c>
      <c r="D44" s="15" t="e">
        <f>D42+D34+D26+D17+D9</f>
        <v>#REF!</v>
      </c>
    </row>
  </sheetData>
  <pageMargins left="0.7" right="0.7" top="0.75" bottom="0.75" header="0.3" footer="0.3"/>
  <pageSetup scale="96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16D7-6B7C-4776-956C-8BFF39C2895C}">
  <sheetPr>
    <pageSetUpPr fitToPage="1"/>
  </sheetPr>
  <dimension ref="A1:D44"/>
  <sheetViews>
    <sheetView topLeftCell="A19" workbookViewId="0">
      <selection activeCell="F19" sqref="F19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44652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44655</v>
      </c>
    </row>
    <row r="5" spans="1:4" ht="15.75" thickBot="1" x14ac:dyDescent="0.25">
      <c r="A5" s="12" t="s">
        <v>266</v>
      </c>
      <c r="B5" s="17">
        <v>129.99</v>
      </c>
      <c r="C5" s="18">
        <v>26</v>
      </c>
      <c r="D5" s="19">
        <v>155.99</v>
      </c>
    </row>
    <row r="6" spans="1:4" ht="15.75" thickBot="1" x14ac:dyDescent="0.25">
      <c r="A6" s="12" t="s">
        <v>265</v>
      </c>
      <c r="B6" s="17">
        <v>48.94</v>
      </c>
      <c r="C6" s="18">
        <v>29.57</v>
      </c>
      <c r="D6" s="19">
        <v>78.509999999999991</v>
      </c>
    </row>
    <row r="7" spans="1:4" ht="15" x14ac:dyDescent="0.2">
      <c r="A7" s="12" t="s">
        <v>272</v>
      </c>
      <c r="B7" s="17">
        <v>24.72</v>
      </c>
      <c r="C7" s="18">
        <v>24.72</v>
      </c>
      <c r="D7" s="19">
        <v>49.44</v>
      </c>
    </row>
    <row r="8" spans="1:4" ht="13.5" thickBot="1" x14ac:dyDescent="0.25"/>
    <row r="9" spans="1:4" ht="13.5" thickBot="1" x14ac:dyDescent="0.25">
      <c r="D9" s="15">
        <v>283.94000000000005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v>44662</v>
      </c>
    </row>
    <row r="13" spans="1:4" ht="15.75" thickBot="1" x14ac:dyDescent="0.25">
      <c r="A13" s="12" t="s">
        <v>266</v>
      </c>
      <c r="B13" s="17">
        <v>129.99</v>
      </c>
      <c r="C13" s="18">
        <v>26</v>
      </c>
      <c r="D13" s="19">
        <v>155.99</v>
      </c>
    </row>
    <row r="14" spans="1:4" ht="15.75" thickBot="1" x14ac:dyDescent="0.25">
      <c r="A14" s="12" t="s">
        <v>265</v>
      </c>
      <c r="B14" s="17">
        <v>49.71</v>
      </c>
      <c r="C14" s="18">
        <v>29.82</v>
      </c>
      <c r="D14" s="19">
        <v>79.53</v>
      </c>
    </row>
    <row r="15" spans="1:4" ht="15" x14ac:dyDescent="0.2">
      <c r="A15" s="12" t="s">
        <v>272</v>
      </c>
      <c r="B15" s="17">
        <v>24.72</v>
      </c>
      <c r="C15" s="18">
        <v>24.72</v>
      </c>
      <c r="D15" s="19">
        <v>49.44</v>
      </c>
    </row>
    <row r="16" spans="1:4" ht="13.5" thickBot="1" x14ac:dyDescent="0.25"/>
    <row r="17" spans="1:4" ht="13.5" thickBot="1" x14ac:dyDescent="0.25">
      <c r="D17" s="15">
        <v>284.96000000000004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v>44669</v>
      </c>
    </row>
    <row r="22" spans="1:4" ht="15.75" thickBot="1" x14ac:dyDescent="0.25">
      <c r="A22" s="12" t="s">
        <v>266</v>
      </c>
      <c r="B22" s="17">
        <v>129.99</v>
      </c>
      <c r="C22" s="18">
        <v>26</v>
      </c>
      <c r="D22" s="19">
        <v>155.99</v>
      </c>
    </row>
    <row r="23" spans="1:4" ht="15.75" thickBot="1" x14ac:dyDescent="0.25">
      <c r="A23" s="12" t="s">
        <v>265</v>
      </c>
      <c r="B23" s="17">
        <v>48.94</v>
      </c>
      <c r="C23" s="18">
        <v>29.36</v>
      </c>
      <c r="D23" s="19">
        <v>78.3</v>
      </c>
    </row>
    <row r="24" spans="1:4" ht="15" x14ac:dyDescent="0.2">
      <c r="A24" s="12" t="s">
        <v>272</v>
      </c>
      <c r="B24" s="17">
        <v>24.72</v>
      </c>
      <c r="C24" s="18">
        <v>24.72</v>
      </c>
      <c r="D24" s="19">
        <v>49.44</v>
      </c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v>283.73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v>44676</v>
      </c>
    </row>
    <row r="30" spans="1:4" ht="15.75" thickBot="1" x14ac:dyDescent="0.25">
      <c r="A30" s="12" t="s">
        <v>266</v>
      </c>
      <c r="B30" s="17">
        <v>129.99</v>
      </c>
      <c r="C30" s="18">
        <v>26</v>
      </c>
      <c r="D30" s="19">
        <v>155.99</v>
      </c>
    </row>
    <row r="31" spans="1:4" ht="15.75" thickBot="1" x14ac:dyDescent="0.25">
      <c r="A31" s="12" t="s">
        <v>265</v>
      </c>
      <c r="B31" s="17">
        <v>49.48</v>
      </c>
      <c r="C31" s="18">
        <v>29.69</v>
      </c>
      <c r="D31" s="19">
        <v>79.17</v>
      </c>
    </row>
    <row r="32" spans="1:4" ht="15" x14ac:dyDescent="0.2">
      <c r="A32" s="12" t="s">
        <v>272</v>
      </c>
      <c r="B32" s="17">
        <v>24.72</v>
      </c>
      <c r="C32" s="18">
        <v>24.72</v>
      </c>
      <c r="D32" s="19">
        <v>49.44</v>
      </c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v>284.60000000000002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 t="s">
        <v>273</v>
      </c>
    </row>
    <row r="38" spans="1:4" ht="15.75" thickBot="1" x14ac:dyDescent="0.25">
      <c r="A38" s="12" t="s">
        <v>266</v>
      </c>
      <c r="B38" s="17">
        <v>0</v>
      </c>
      <c r="C38" s="18">
        <v>0</v>
      </c>
      <c r="D38" s="19">
        <v>0</v>
      </c>
    </row>
    <row r="39" spans="1:4" ht="15.75" thickBot="1" x14ac:dyDescent="0.25">
      <c r="A39" s="12" t="s">
        <v>265</v>
      </c>
      <c r="B39" s="17">
        <v>0</v>
      </c>
      <c r="C39" s="18">
        <v>0</v>
      </c>
      <c r="D39" s="19">
        <v>0</v>
      </c>
    </row>
    <row r="40" spans="1:4" ht="15" x14ac:dyDescent="0.2">
      <c r="A40" s="12" t="s">
        <v>271</v>
      </c>
      <c r="B40" s="17">
        <v>0</v>
      </c>
      <c r="C40" s="18">
        <v>0</v>
      </c>
      <c r="D40" s="19">
        <v>0</v>
      </c>
    </row>
    <row r="41" spans="1:4" ht="13.5" thickBot="1" x14ac:dyDescent="0.25"/>
    <row r="42" spans="1:4" ht="13.5" thickBot="1" x14ac:dyDescent="0.25">
      <c r="D42" s="15"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v>1137.23</v>
      </c>
    </row>
  </sheetData>
  <pageMargins left="0.7" right="0.7" top="0.75" bottom="0.75" header="0.3" footer="0.3"/>
  <pageSetup scale="97" orientation="portrait" horizontalDpi="1200" verticalDpi="1200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DE07-BC36-4472-A6F6-26682EA8C627}">
  <sheetPr>
    <pageSetUpPr fitToPage="1"/>
  </sheetPr>
  <dimension ref="A1:D44"/>
  <sheetViews>
    <sheetView topLeftCell="A16" workbookViewId="0">
      <selection sqref="A1:IV65536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44682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44683</v>
      </c>
    </row>
    <row r="5" spans="1:4" ht="15.75" thickBot="1" x14ac:dyDescent="0.25">
      <c r="A5" s="12" t="s">
        <v>266</v>
      </c>
      <c r="B5" s="17">
        <v>129.99</v>
      </c>
      <c r="C5" s="18">
        <v>26</v>
      </c>
      <c r="D5" s="19">
        <v>155.99</v>
      </c>
    </row>
    <row r="6" spans="1:4" ht="15.75" thickBot="1" x14ac:dyDescent="0.25">
      <c r="A6" s="12" t="s">
        <v>265</v>
      </c>
      <c r="B6" s="17">
        <v>49.27</v>
      </c>
      <c r="C6" s="18">
        <v>29.56</v>
      </c>
      <c r="D6" s="19">
        <v>78.83</v>
      </c>
    </row>
    <row r="7" spans="1:4" ht="15" x14ac:dyDescent="0.2">
      <c r="A7" s="12" t="s">
        <v>272</v>
      </c>
      <c r="B7" s="17">
        <v>24.72</v>
      </c>
      <c r="C7" s="18">
        <v>24.72</v>
      </c>
      <c r="D7" s="19">
        <v>49.44</v>
      </c>
    </row>
    <row r="8" spans="1:4" ht="13.5" thickBot="1" x14ac:dyDescent="0.25"/>
    <row r="9" spans="1:4" ht="13.5" thickBot="1" x14ac:dyDescent="0.25">
      <c r="D9" s="15">
        <v>284.26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v>44690</v>
      </c>
    </row>
    <row r="13" spans="1:4" ht="15.75" thickBot="1" x14ac:dyDescent="0.25">
      <c r="A13" s="12" t="s">
        <v>266</v>
      </c>
      <c r="B13" s="17">
        <v>129.99</v>
      </c>
      <c r="C13" s="18">
        <v>26</v>
      </c>
      <c r="D13" s="19">
        <v>155.99</v>
      </c>
    </row>
    <row r="14" spans="1:4" ht="15.75" thickBot="1" x14ac:dyDescent="0.25">
      <c r="A14" s="12" t="s">
        <v>265</v>
      </c>
      <c r="B14" s="17">
        <v>49.48</v>
      </c>
      <c r="C14" s="18">
        <v>29.69</v>
      </c>
      <c r="D14" s="19">
        <v>79.17</v>
      </c>
    </row>
    <row r="15" spans="1:4" ht="15" x14ac:dyDescent="0.2">
      <c r="A15" s="12" t="s">
        <v>272</v>
      </c>
      <c r="B15" s="17">
        <v>24.72</v>
      </c>
      <c r="C15" s="18">
        <v>24.72</v>
      </c>
      <c r="D15" s="19">
        <v>49.44</v>
      </c>
    </row>
    <row r="16" spans="1:4" ht="13.5" thickBot="1" x14ac:dyDescent="0.25"/>
    <row r="17" spans="1:4" ht="13.5" thickBot="1" x14ac:dyDescent="0.25">
      <c r="D17" s="15">
        <v>284.60000000000002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v>44697</v>
      </c>
    </row>
    <row r="22" spans="1:4" ht="15.75" thickBot="1" x14ac:dyDescent="0.25">
      <c r="A22" s="12" t="s">
        <v>266</v>
      </c>
      <c r="B22" s="17">
        <v>129.99</v>
      </c>
      <c r="C22" s="18">
        <v>26</v>
      </c>
      <c r="D22" s="19">
        <v>155.99</v>
      </c>
    </row>
    <row r="23" spans="1:4" ht="15.75" thickBot="1" x14ac:dyDescent="0.25">
      <c r="A23" s="12" t="s">
        <v>265</v>
      </c>
      <c r="B23" s="17">
        <v>49.71</v>
      </c>
      <c r="C23" s="18">
        <v>29.82</v>
      </c>
      <c r="D23" s="19">
        <v>79.53</v>
      </c>
    </row>
    <row r="24" spans="1:4" ht="15" x14ac:dyDescent="0.2">
      <c r="A24" s="12" t="s">
        <v>272</v>
      </c>
      <c r="B24" s="17">
        <v>24.72</v>
      </c>
      <c r="C24" s="18">
        <v>24.72</v>
      </c>
      <c r="D24" s="19">
        <v>49.44</v>
      </c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v>284.96000000000004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v>44704</v>
      </c>
    </row>
    <row r="30" spans="1:4" ht="15.75" thickBot="1" x14ac:dyDescent="0.25">
      <c r="A30" s="12" t="s">
        <v>266</v>
      </c>
      <c r="B30" s="17">
        <v>129.99</v>
      </c>
      <c r="C30" s="18">
        <v>26</v>
      </c>
      <c r="D30" s="19">
        <v>155.99</v>
      </c>
    </row>
    <row r="31" spans="1:4" ht="15.75" thickBot="1" x14ac:dyDescent="0.25">
      <c r="A31" s="12" t="s">
        <v>265</v>
      </c>
      <c r="B31" s="17">
        <v>49.71</v>
      </c>
      <c r="C31" s="18">
        <v>29.82</v>
      </c>
      <c r="D31" s="19">
        <v>79.53</v>
      </c>
    </row>
    <row r="32" spans="1:4" ht="15" x14ac:dyDescent="0.2">
      <c r="A32" s="12" t="s">
        <v>272</v>
      </c>
      <c r="B32" s="17">
        <v>24.72</v>
      </c>
      <c r="C32" s="18">
        <v>24.72</v>
      </c>
      <c r="D32" s="19">
        <v>49.44</v>
      </c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v>284.96000000000004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>
        <v>44711</v>
      </c>
    </row>
    <row r="38" spans="1:4" ht="15.75" thickBot="1" x14ac:dyDescent="0.25">
      <c r="A38" s="12" t="s">
        <v>266</v>
      </c>
      <c r="B38" s="17">
        <v>129.99</v>
      </c>
      <c r="C38" s="18">
        <v>26</v>
      </c>
      <c r="D38" s="19">
        <v>155.99</v>
      </c>
    </row>
    <row r="39" spans="1:4" ht="15.75" thickBot="1" x14ac:dyDescent="0.25">
      <c r="A39" s="12" t="s">
        <v>265</v>
      </c>
      <c r="B39" s="17">
        <v>49.71</v>
      </c>
      <c r="C39" s="18">
        <v>29.82</v>
      </c>
      <c r="D39" s="19">
        <v>79.53</v>
      </c>
    </row>
    <row r="40" spans="1:4" ht="15" x14ac:dyDescent="0.2">
      <c r="A40" s="12" t="s">
        <v>271</v>
      </c>
      <c r="B40" s="17">
        <v>24.72</v>
      </c>
      <c r="C40" s="18">
        <v>24.72</v>
      </c>
      <c r="D40" s="19">
        <v>49.44</v>
      </c>
    </row>
    <row r="41" spans="1:4" ht="13.5" thickBot="1" x14ac:dyDescent="0.25"/>
    <row r="42" spans="1:4" ht="13.5" thickBot="1" x14ac:dyDescent="0.25">
      <c r="D42" s="15">
        <v>284.96000000000004</v>
      </c>
    </row>
    <row r="43" spans="1:4" ht="13.5" thickBot="1" x14ac:dyDescent="0.25"/>
    <row r="44" spans="1:4" ht="13.5" thickBot="1" x14ac:dyDescent="0.25">
      <c r="C44" s="14" t="s">
        <v>269</v>
      </c>
      <c r="D44" s="15">
        <v>1423.74</v>
      </c>
    </row>
  </sheetData>
  <pageMargins left="0.7" right="0.7" top="0.75" bottom="0.75" header="0.3" footer="0.3"/>
  <pageSetup scale="96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A965-DACE-48E1-BB83-F625322BE340}">
  <sheetPr>
    <pageSetUpPr fitToPage="1"/>
  </sheetPr>
  <dimension ref="A1:D44"/>
  <sheetViews>
    <sheetView topLeftCell="A25" workbookViewId="0">
      <selection activeCell="C60" sqref="C60:C62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44713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44718</v>
      </c>
    </row>
    <row r="5" spans="1:4" ht="15.75" thickBot="1" x14ac:dyDescent="0.25">
      <c r="A5" s="12" t="s">
        <v>266</v>
      </c>
      <c r="B5" s="17">
        <v>110.49</v>
      </c>
      <c r="C5" s="18">
        <v>22.1</v>
      </c>
      <c r="D5" s="19">
        <v>132.59</v>
      </c>
    </row>
    <row r="6" spans="1:4" ht="15.75" thickBot="1" x14ac:dyDescent="0.25">
      <c r="A6" s="12" t="s">
        <v>265</v>
      </c>
      <c r="B6" s="17">
        <v>49.38</v>
      </c>
      <c r="C6" s="18">
        <v>29.63</v>
      </c>
      <c r="D6" s="19">
        <v>79.010000000000005</v>
      </c>
    </row>
    <row r="7" spans="1:4" ht="15" x14ac:dyDescent="0.2">
      <c r="A7" s="12" t="s">
        <v>272</v>
      </c>
      <c r="B7" s="17">
        <v>24.72</v>
      </c>
      <c r="C7" s="18">
        <v>24.72</v>
      </c>
      <c r="D7" s="19">
        <v>49.44</v>
      </c>
    </row>
    <row r="8" spans="1:4" ht="13.5" thickBot="1" x14ac:dyDescent="0.25"/>
    <row r="9" spans="1:4" ht="13.5" thickBot="1" x14ac:dyDescent="0.25">
      <c r="D9" s="15">
        <v>261.03999999999996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v>44725</v>
      </c>
    </row>
    <row r="13" spans="1:4" ht="15.75" thickBot="1" x14ac:dyDescent="0.25">
      <c r="A13" s="12" t="s">
        <v>266</v>
      </c>
      <c r="B13" s="17">
        <v>129.99</v>
      </c>
      <c r="C13" s="18">
        <v>26</v>
      </c>
      <c r="D13" s="19">
        <v>155.99</v>
      </c>
    </row>
    <row r="14" spans="1:4" ht="15.75" thickBot="1" x14ac:dyDescent="0.25">
      <c r="A14" s="12" t="s">
        <v>265</v>
      </c>
      <c r="B14" s="17">
        <v>49.71</v>
      </c>
      <c r="C14" s="18">
        <v>29.82</v>
      </c>
      <c r="D14" s="19">
        <v>79.53</v>
      </c>
    </row>
    <row r="15" spans="1:4" ht="15" x14ac:dyDescent="0.2">
      <c r="A15" s="12" t="s">
        <v>272</v>
      </c>
      <c r="B15" s="17">
        <v>24.72</v>
      </c>
      <c r="C15" s="18">
        <v>24.72</v>
      </c>
      <c r="D15" s="19">
        <v>49.44</v>
      </c>
    </row>
    <row r="16" spans="1:4" ht="13.5" thickBot="1" x14ac:dyDescent="0.25"/>
    <row r="17" spans="1:4" ht="13.5" thickBot="1" x14ac:dyDescent="0.25">
      <c r="D17" s="15">
        <v>284.96000000000004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v>44732</v>
      </c>
    </row>
    <row r="22" spans="1:4" ht="15.75" thickBot="1" x14ac:dyDescent="0.25">
      <c r="A22" s="12" t="s">
        <v>266</v>
      </c>
      <c r="B22" s="17">
        <v>129.99</v>
      </c>
      <c r="C22" s="18">
        <v>26</v>
      </c>
      <c r="D22" s="19">
        <v>155.99</v>
      </c>
    </row>
    <row r="23" spans="1:4" ht="15.75" thickBot="1" x14ac:dyDescent="0.25">
      <c r="A23" s="12" t="s">
        <v>265</v>
      </c>
      <c r="B23" s="17">
        <v>49.27</v>
      </c>
      <c r="C23" s="18">
        <v>29.56</v>
      </c>
      <c r="D23" s="19">
        <v>78.83</v>
      </c>
    </row>
    <row r="24" spans="1:4" ht="15" x14ac:dyDescent="0.2">
      <c r="A24" s="12" t="s">
        <v>272</v>
      </c>
      <c r="B24" s="17">
        <v>24.72</v>
      </c>
      <c r="C24" s="18">
        <v>24.72</v>
      </c>
      <c r="D24" s="19">
        <v>49.44</v>
      </c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v>284.26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v>44739</v>
      </c>
    </row>
    <row r="30" spans="1:4" ht="15.75" thickBot="1" x14ac:dyDescent="0.25">
      <c r="A30" s="12" t="s">
        <v>266</v>
      </c>
      <c r="B30" s="17">
        <v>129.99</v>
      </c>
      <c r="C30" s="18">
        <v>26</v>
      </c>
      <c r="D30" s="19">
        <v>155.99</v>
      </c>
    </row>
    <row r="31" spans="1:4" ht="15.75" thickBot="1" x14ac:dyDescent="0.25">
      <c r="A31" s="12" t="s">
        <v>265</v>
      </c>
      <c r="B31" s="17">
        <v>49.15</v>
      </c>
      <c r="C31" s="18">
        <v>29.49</v>
      </c>
      <c r="D31" s="19">
        <v>78.64</v>
      </c>
    </row>
    <row r="32" spans="1:4" ht="15" x14ac:dyDescent="0.2">
      <c r="A32" s="12" t="s">
        <v>272</v>
      </c>
      <c r="B32" s="17">
        <v>24.72</v>
      </c>
      <c r="C32" s="18">
        <v>24.72</v>
      </c>
      <c r="D32" s="19">
        <v>49.44</v>
      </c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v>284.07000000000005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 t="s">
        <v>273</v>
      </c>
    </row>
    <row r="38" spans="1:4" ht="15.75" thickBot="1" x14ac:dyDescent="0.25">
      <c r="A38" s="12" t="s">
        <v>266</v>
      </c>
      <c r="B38" s="17">
        <v>0</v>
      </c>
      <c r="C38" s="18">
        <v>0</v>
      </c>
      <c r="D38" s="19">
        <v>0</v>
      </c>
    </row>
    <row r="39" spans="1:4" ht="15.75" thickBot="1" x14ac:dyDescent="0.25">
      <c r="A39" s="12" t="s">
        <v>265</v>
      </c>
      <c r="B39" s="17">
        <v>0</v>
      </c>
      <c r="C39" s="18">
        <v>0</v>
      </c>
      <c r="D39" s="19">
        <v>0</v>
      </c>
    </row>
    <row r="40" spans="1:4" ht="15" x14ac:dyDescent="0.2">
      <c r="A40" s="12" t="s">
        <v>271</v>
      </c>
      <c r="B40" s="17">
        <v>0</v>
      </c>
      <c r="C40" s="18">
        <v>0</v>
      </c>
      <c r="D40" s="19">
        <v>0</v>
      </c>
    </row>
    <row r="41" spans="1:4" ht="13.5" thickBot="1" x14ac:dyDescent="0.25"/>
    <row r="42" spans="1:4" ht="13.5" thickBot="1" x14ac:dyDescent="0.25">
      <c r="D42" s="15"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v>1114.33</v>
      </c>
    </row>
  </sheetData>
  <pageMargins left="0.7" right="0.7" top="0.75" bottom="0.75" header="0.3" footer="0.3"/>
  <pageSetup scale="97" orientation="portrait" horizontalDpi="1200" verticalDpi="1200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B9DD-F032-4C06-951D-77104BC50740}">
  <sheetPr>
    <pageSetUpPr fitToPage="1"/>
  </sheetPr>
  <dimension ref="A1:D44"/>
  <sheetViews>
    <sheetView workbookViewId="0"/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44743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44746</v>
      </c>
    </row>
    <row r="5" spans="1:4" ht="15.75" thickBot="1" x14ac:dyDescent="0.25">
      <c r="A5" s="12" t="s">
        <v>266</v>
      </c>
      <c r="B5" s="17">
        <v>103.99</v>
      </c>
      <c r="C5" s="18">
        <v>20.8</v>
      </c>
      <c r="D5" s="19">
        <v>124.78999999999999</v>
      </c>
    </row>
    <row r="6" spans="1:4" ht="15.75" thickBot="1" x14ac:dyDescent="0.25">
      <c r="A6" s="12" t="s">
        <v>265</v>
      </c>
      <c r="B6" s="17">
        <v>49.71</v>
      </c>
      <c r="C6" s="18">
        <v>29.82</v>
      </c>
      <c r="D6" s="19">
        <v>79.53</v>
      </c>
    </row>
    <row r="7" spans="1:4" ht="15" x14ac:dyDescent="0.2">
      <c r="A7" s="12" t="s">
        <v>272</v>
      </c>
      <c r="B7" s="17">
        <v>24.72</v>
      </c>
      <c r="C7" s="18">
        <v>24.72</v>
      </c>
      <c r="D7" s="19">
        <v>49.44</v>
      </c>
    </row>
    <row r="8" spans="1:4" ht="13.5" thickBot="1" x14ac:dyDescent="0.25"/>
    <row r="9" spans="1:4" ht="13.5" thickBot="1" x14ac:dyDescent="0.25">
      <c r="D9" s="15">
        <v>253.76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v>44753</v>
      </c>
    </row>
    <row r="13" spans="1:4" ht="15.75" thickBot="1" x14ac:dyDescent="0.25">
      <c r="A13" s="12" t="s">
        <v>266</v>
      </c>
      <c r="B13" s="17">
        <v>129.99</v>
      </c>
      <c r="C13" s="18">
        <v>26</v>
      </c>
      <c r="D13" s="19">
        <v>155.99</v>
      </c>
    </row>
    <row r="14" spans="1:4" ht="15.75" thickBot="1" x14ac:dyDescent="0.25">
      <c r="A14" s="12" t="s">
        <v>265</v>
      </c>
      <c r="B14" s="17">
        <v>49.71</v>
      </c>
      <c r="C14" s="18">
        <v>29.82</v>
      </c>
      <c r="D14" s="19">
        <v>79.53</v>
      </c>
    </row>
    <row r="15" spans="1:4" ht="15" x14ac:dyDescent="0.2">
      <c r="A15" s="12" t="s">
        <v>272</v>
      </c>
      <c r="B15" s="17">
        <v>24.72</v>
      </c>
      <c r="C15" s="18">
        <v>24.72</v>
      </c>
      <c r="D15" s="19">
        <v>49.44</v>
      </c>
    </row>
    <row r="16" spans="1:4" ht="13.5" thickBot="1" x14ac:dyDescent="0.25"/>
    <row r="17" spans="1:4" ht="13.5" thickBot="1" x14ac:dyDescent="0.25">
      <c r="D17" s="15">
        <v>284.96000000000004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v>44760</v>
      </c>
    </row>
    <row r="22" spans="1:4" ht="15.75" thickBot="1" x14ac:dyDescent="0.25">
      <c r="A22" s="12" t="s">
        <v>266</v>
      </c>
      <c r="B22" s="17">
        <v>129.99</v>
      </c>
      <c r="C22" s="18">
        <v>26</v>
      </c>
      <c r="D22" s="19">
        <v>155.99</v>
      </c>
    </row>
    <row r="23" spans="1:4" ht="15.75" thickBot="1" x14ac:dyDescent="0.25">
      <c r="A23" s="12" t="s">
        <v>265</v>
      </c>
      <c r="B23" s="17">
        <v>49.71</v>
      </c>
      <c r="C23" s="18">
        <v>29.82</v>
      </c>
      <c r="D23" s="19">
        <v>79.53</v>
      </c>
    </row>
    <row r="24" spans="1:4" ht="15" x14ac:dyDescent="0.2">
      <c r="A24" s="12" t="s">
        <v>272</v>
      </c>
      <c r="B24" s="17">
        <v>24.72</v>
      </c>
      <c r="C24" s="18">
        <v>24.72</v>
      </c>
      <c r="D24" s="19">
        <v>49.44</v>
      </c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v>284.96000000000004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v>44767</v>
      </c>
    </row>
    <row r="30" spans="1:4" ht="15.75" thickBot="1" x14ac:dyDescent="0.25">
      <c r="A30" s="12" t="s">
        <v>266</v>
      </c>
      <c r="B30" s="17">
        <v>129.99</v>
      </c>
      <c r="C30" s="18">
        <v>26</v>
      </c>
      <c r="D30" s="19">
        <v>155.99</v>
      </c>
    </row>
    <row r="31" spans="1:4" ht="15.75" thickBot="1" x14ac:dyDescent="0.25">
      <c r="A31" s="12" t="s">
        <v>265</v>
      </c>
      <c r="B31" s="17">
        <v>49.71</v>
      </c>
      <c r="C31" s="18">
        <v>29.82</v>
      </c>
      <c r="D31" s="19">
        <v>79.53</v>
      </c>
    </row>
    <row r="32" spans="1:4" ht="15" x14ac:dyDescent="0.2">
      <c r="A32" s="12" t="s">
        <v>272</v>
      </c>
      <c r="B32" s="17">
        <v>24.72</v>
      </c>
      <c r="C32" s="18">
        <v>24.72</v>
      </c>
      <c r="D32" s="19">
        <v>49.44</v>
      </c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v>284.96000000000004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 t="s">
        <v>273</v>
      </c>
    </row>
    <row r="38" spans="1:4" ht="15.75" thickBot="1" x14ac:dyDescent="0.25">
      <c r="A38" s="12" t="s">
        <v>266</v>
      </c>
      <c r="B38" s="17">
        <v>0</v>
      </c>
      <c r="C38" s="18">
        <v>0</v>
      </c>
      <c r="D38" s="19">
        <v>0</v>
      </c>
    </row>
    <row r="39" spans="1:4" ht="15.75" thickBot="1" x14ac:dyDescent="0.25">
      <c r="A39" s="12" t="s">
        <v>265</v>
      </c>
      <c r="B39" s="17">
        <v>0</v>
      </c>
      <c r="C39" s="18">
        <v>0</v>
      </c>
      <c r="D39" s="19">
        <v>0</v>
      </c>
    </row>
    <row r="40" spans="1:4" ht="15" x14ac:dyDescent="0.2">
      <c r="A40" s="12" t="s">
        <v>271</v>
      </c>
      <c r="B40" s="17">
        <v>0</v>
      </c>
      <c r="C40" s="18">
        <v>0</v>
      </c>
      <c r="D40" s="19">
        <v>0</v>
      </c>
    </row>
    <row r="41" spans="1:4" ht="13.5" thickBot="1" x14ac:dyDescent="0.25"/>
    <row r="42" spans="1:4" ht="13.5" thickBot="1" x14ac:dyDescent="0.25">
      <c r="D42" s="15"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v>1108.6400000000001</v>
      </c>
    </row>
  </sheetData>
  <pageMargins left="0.7" right="0.7" top="0.75" bottom="0.75" header="0.3" footer="0.3"/>
  <pageSetup scale="97" orientation="portrait" horizontalDpi="1200" verticalDpi="1200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B2EA-E522-4D21-951A-354C67281F94}">
  <sheetPr>
    <pageSetUpPr fitToPage="1"/>
  </sheetPr>
  <dimension ref="A1:D44"/>
  <sheetViews>
    <sheetView workbookViewId="0"/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44774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44774</v>
      </c>
    </row>
    <row r="5" spans="1:4" ht="15.75" thickBot="1" x14ac:dyDescent="0.25">
      <c r="A5" s="12" t="s">
        <v>266</v>
      </c>
      <c r="B5" s="17">
        <v>129.99</v>
      </c>
      <c r="C5" s="18">
        <v>26</v>
      </c>
      <c r="D5" s="19">
        <v>155.99</v>
      </c>
    </row>
    <row r="6" spans="1:4" ht="15.75" thickBot="1" x14ac:dyDescent="0.25">
      <c r="A6" s="12" t="s">
        <v>265</v>
      </c>
      <c r="B6" s="17">
        <v>49.71</v>
      </c>
      <c r="C6" s="18">
        <v>29.82</v>
      </c>
      <c r="D6" s="19">
        <v>79.53</v>
      </c>
    </row>
    <row r="7" spans="1:4" ht="15" x14ac:dyDescent="0.2">
      <c r="A7" s="12" t="s">
        <v>272</v>
      </c>
      <c r="B7" s="17">
        <v>24.72</v>
      </c>
      <c r="C7" s="18">
        <v>24.72</v>
      </c>
      <c r="D7" s="19">
        <v>49.44</v>
      </c>
    </row>
    <row r="8" spans="1:4" ht="13.5" thickBot="1" x14ac:dyDescent="0.25"/>
    <row r="9" spans="1:4" ht="13.5" thickBot="1" x14ac:dyDescent="0.25">
      <c r="D9" s="15">
        <v>284.96000000000004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v>44781</v>
      </c>
    </row>
    <row r="13" spans="1:4" ht="15.75" thickBot="1" x14ac:dyDescent="0.25">
      <c r="A13" s="12" t="s">
        <v>266</v>
      </c>
      <c r="B13" s="17">
        <v>129.99</v>
      </c>
      <c r="C13" s="18">
        <v>26</v>
      </c>
      <c r="D13" s="19">
        <v>155.99</v>
      </c>
    </row>
    <row r="14" spans="1:4" ht="15.75" thickBot="1" x14ac:dyDescent="0.25">
      <c r="A14" s="12" t="s">
        <v>265</v>
      </c>
      <c r="B14" s="17">
        <v>49.71</v>
      </c>
      <c r="C14" s="18">
        <v>29.82</v>
      </c>
      <c r="D14" s="19">
        <v>79.53</v>
      </c>
    </row>
    <row r="15" spans="1:4" ht="15" x14ac:dyDescent="0.2">
      <c r="A15" s="12" t="s">
        <v>272</v>
      </c>
      <c r="B15" s="17">
        <v>24.72</v>
      </c>
      <c r="C15" s="18">
        <v>24.72</v>
      </c>
      <c r="D15" s="19">
        <v>49.44</v>
      </c>
    </row>
    <row r="16" spans="1:4" ht="13.5" thickBot="1" x14ac:dyDescent="0.25"/>
    <row r="17" spans="1:4" ht="13.5" thickBot="1" x14ac:dyDescent="0.25">
      <c r="D17" s="15">
        <v>284.96000000000004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v>44788</v>
      </c>
    </row>
    <row r="22" spans="1:4" ht="15.75" thickBot="1" x14ac:dyDescent="0.25">
      <c r="A22" s="12" t="s">
        <v>266</v>
      </c>
      <c r="B22" s="17">
        <v>129.99</v>
      </c>
      <c r="C22" s="18">
        <v>26</v>
      </c>
      <c r="D22" s="19">
        <v>155.99</v>
      </c>
    </row>
    <row r="23" spans="1:4" ht="15.75" thickBot="1" x14ac:dyDescent="0.25">
      <c r="A23" s="12" t="s">
        <v>265</v>
      </c>
      <c r="B23" s="17">
        <v>49.71</v>
      </c>
      <c r="C23" s="18">
        <v>29.82</v>
      </c>
      <c r="D23" s="19">
        <v>79.53</v>
      </c>
    </row>
    <row r="24" spans="1:4" ht="15" x14ac:dyDescent="0.2">
      <c r="A24" s="12" t="s">
        <v>272</v>
      </c>
      <c r="B24" s="17">
        <v>24.72</v>
      </c>
      <c r="C24" s="18">
        <v>24.72</v>
      </c>
      <c r="D24" s="19">
        <v>49.44</v>
      </c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v>284.96000000000004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v>44795</v>
      </c>
    </row>
    <row r="30" spans="1:4" ht="15.75" thickBot="1" x14ac:dyDescent="0.25">
      <c r="A30" s="12" t="s">
        <v>266</v>
      </c>
      <c r="B30" s="17">
        <v>129.99</v>
      </c>
      <c r="C30" s="18">
        <v>26</v>
      </c>
      <c r="D30" s="19">
        <v>155.99</v>
      </c>
    </row>
    <row r="31" spans="1:4" ht="15.75" thickBot="1" x14ac:dyDescent="0.25">
      <c r="A31" s="12" t="s">
        <v>265</v>
      </c>
      <c r="B31" s="17">
        <v>49.71</v>
      </c>
      <c r="C31" s="18">
        <v>29.82</v>
      </c>
      <c r="D31" s="19">
        <v>79.53</v>
      </c>
    </row>
    <row r="32" spans="1:4" ht="15" x14ac:dyDescent="0.2">
      <c r="A32" s="12" t="s">
        <v>272</v>
      </c>
      <c r="B32" s="17">
        <v>24.72</v>
      </c>
      <c r="C32" s="18">
        <v>24.72</v>
      </c>
      <c r="D32" s="19">
        <v>49.44</v>
      </c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v>284.96000000000004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>
        <v>44802</v>
      </c>
    </row>
    <row r="38" spans="1:4" ht="15.75" thickBot="1" x14ac:dyDescent="0.25">
      <c r="A38" s="12" t="s">
        <v>266</v>
      </c>
      <c r="B38" s="17">
        <v>129.99</v>
      </c>
      <c r="C38" s="18">
        <v>26</v>
      </c>
      <c r="D38" s="19">
        <v>155.99</v>
      </c>
    </row>
    <row r="39" spans="1:4" ht="15.75" thickBot="1" x14ac:dyDescent="0.25">
      <c r="A39" s="12" t="s">
        <v>265</v>
      </c>
      <c r="B39" s="17">
        <v>53.02</v>
      </c>
      <c r="C39" s="18">
        <v>31.81</v>
      </c>
      <c r="D39" s="19">
        <v>84.83</v>
      </c>
    </row>
    <row r="40" spans="1:4" ht="15" x14ac:dyDescent="0.2">
      <c r="A40" s="12" t="s">
        <v>271</v>
      </c>
      <c r="B40" s="17">
        <v>24.72</v>
      </c>
      <c r="C40" s="18">
        <v>24.72</v>
      </c>
      <c r="D40" s="19">
        <v>49.44</v>
      </c>
    </row>
    <row r="41" spans="1:4" ht="13.5" thickBot="1" x14ac:dyDescent="0.25"/>
    <row r="42" spans="1:4" ht="13.5" thickBot="1" x14ac:dyDescent="0.25">
      <c r="D42" s="15">
        <v>290.26</v>
      </c>
    </row>
    <row r="43" spans="1:4" ht="13.5" thickBot="1" x14ac:dyDescent="0.25"/>
    <row r="44" spans="1:4" ht="13.5" thickBot="1" x14ac:dyDescent="0.25">
      <c r="C44" s="14" t="s">
        <v>269</v>
      </c>
      <c r="D44" s="15">
        <v>1430.1000000000001</v>
      </c>
    </row>
  </sheetData>
  <pageMargins left="0.7" right="0.7" top="0.75" bottom="0.75" header="0.3" footer="0.3"/>
  <pageSetup scale="96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D41C-6DB5-4509-81AE-C52F7A4FEEE5}">
  <sheetPr>
    <pageSetUpPr fitToPage="1"/>
  </sheetPr>
  <dimension ref="A1:D44"/>
  <sheetViews>
    <sheetView topLeftCell="A16" workbookViewId="0">
      <selection activeCell="C6" sqref="C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44805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44809</v>
      </c>
    </row>
    <row r="5" spans="1:4" ht="15.75" thickBot="1" x14ac:dyDescent="0.25">
      <c r="A5" s="12" t="s">
        <v>266</v>
      </c>
      <c r="B5" s="17">
        <v>129.99</v>
      </c>
      <c r="C5" s="18">
        <v>26</v>
      </c>
      <c r="D5" s="19">
        <v>155.99</v>
      </c>
    </row>
    <row r="6" spans="1:4" ht="15.75" thickBot="1" x14ac:dyDescent="0.25">
      <c r="A6" s="12" t="s">
        <v>265</v>
      </c>
      <c r="B6" s="17">
        <v>49.71</v>
      </c>
      <c r="C6" s="18">
        <v>29.82</v>
      </c>
      <c r="D6" s="19">
        <v>79.53</v>
      </c>
    </row>
    <row r="7" spans="1:4" ht="15" x14ac:dyDescent="0.2">
      <c r="A7" s="12" t="s">
        <v>272</v>
      </c>
      <c r="B7" s="17">
        <v>24.72</v>
      </c>
      <c r="C7" s="18">
        <v>24.72</v>
      </c>
      <c r="D7" s="19">
        <v>49.44</v>
      </c>
    </row>
    <row r="8" spans="1:4" ht="13.5" thickBot="1" x14ac:dyDescent="0.25"/>
    <row r="9" spans="1:4" ht="13.5" thickBot="1" x14ac:dyDescent="0.25">
      <c r="D9" s="15">
        <v>284.96000000000004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v>44816</v>
      </c>
    </row>
    <row r="13" spans="1:4" ht="15.75" thickBot="1" x14ac:dyDescent="0.25">
      <c r="A13" s="12" t="s">
        <v>266</v>
      </c>
      <c r="B13" s="17">
        <v>129.99</v>
      </c>
      <c r="C13" s="18">
        <v>26</v>
      </c>
      <c r="D13" s="19">
        <v>155.99</v>
      </c>
    </row>
    <row r="14" spans="1:4" ht="15.75" thickBot="1" x14ac:dyDescent="0.25">
      <c r="A14" s="12" t="s">
        <v>265</v>
      </c>
      <c r="B14" s="17">
        <v>50.37</v>
      </c>
      <c r="C14" s="18">
        <v>30.22</v>
      </c>
      <c r="D14" s="19">
        <v>80.59</v>
      </c>
    </row>
    <row r="15" spans="1:4" ht="15" x14ac:dyDescent="0.2">
      <c r="A15" s="12" t="s">
        <v>272</v>
      </c>
      <c r="B15" s="17">
        <v>24.72</v>
      </c>
      <c r="C15" s="18">
        <v>24.72</v>
      </c>
      <c r="D15" s="19">
        <v>49.44</v>
      </c>
    </row>
    <row r="16" spans="1:4" ht="13.5" thickBot="1" x14ac:dyDescent="0.25"/>
    <row r="17" spans="1:4" ht="13.5" thickBot="1" x14ac:dyDescent="0.25">
      <c r="D17" s="15">
        <v>286.02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v>44823</v>
      </c>
    </row>
    <row r="22" spans="1:4" ht="15.75" thickBot="1" x14ac:dyDescent="0.25">
      <c r="A22" s="12" t="s">
        <v>266</v>
      </c>
      <c r="B22" s="17">
        <v>129.99</v>
      </c>
      <c r="C22" s="18">
        <v>26</v>
      </c>
      <c r="D22" s="19">
        <v>155.99</v>
      </c>
    </row>
    <row r="23" spans="1:4" ht="15.75" thickBot="1" x14ac:dyDescent="0.25">
      <c r="A23" s="12" t="s">
        <v>265</v>
      </c>
      <c r="B23" s="17">
        <v>49.71</v>
      </c>
      <c r="C23" s="18">
        <v>29.82</v>
      </c>
      <c r="D23" s="19">
        <v>79.53</v>
      </c>
    </row>
    <row r="24" spans="1:4" ht="15" x14ac:dyDescent="0.2">
      <c r="A24" s="12" t="s">
        <v>272</v>
      </c>
      <c r="B24" s="17">
        <v>24.72</v>
      </c>
      <c r="C24" s="18">
        <v>24.72</v>
      </c>
      <c r="D24" s="19">
        <v>49.44</v>
      </c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>
        <v>284.96000000000004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v>44830</v>
      </c>
    </row>
    <row r="30" spans="1:4" ht="15.75" thickBot="1" x14ac:dyDescent="0.25">
      <c r="A30" s="12" t="s">
        <v>266</v>
      </c>
      <c r="B30" s="17">
        <v>129.99</v>
      </c>
      <c r="C30" s="18">
        <v>26</v>
      </c>
      <c r="D30" s="19">
        <v>155.99</v>
      </c>
    </row>
    <row r="31" spans="1:4" ht="15.75" thickBot="1" x14ac:dyDescent="0.25">
      <c r="A31" s="12" t="s">
        <v>265</v>
      </c>
      <c r="B31" s="17">
        <v>49.71</v>
      </c>
      <c r="C31" s="18">
        <v>29.82</v>
      </c>
      <c r="D31" s="19">
        <v>79.53</v>
      </c>
    </row>
    <row r="32" spans="1:4" ht="15" x14ac:dyDescent="0.2">
      <c r="A32" s="12" t="s">
        <v>272</v>
      </c>
      <c r="B32" s="17">
        <v>24.72</v>
      </c>
      <c r="C32" s="18">
        <v>24.72</v>
      </c>
      <c r="D32" s="19">
        <v>49.44</v>
      </c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>
        <v>284.96000000000004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 t="s">
        <v>273</v>
      </c>
    </row>
    <row r="38" spans="1:4" ht="15.75" thickBot="1" x14ac:dyDescent="0.25">
      <c r="A38" s="12" t="s">
        <v>266</v>
      </c>
      <c r="B38" s="17">
        <v>0</v>
      </c>
      <c r="C38" s="18">
        <v>0</v>
      </c>
      <c r="D38" s="19">
        <v>0</v>
      </c>
    </row>
    <row r="39" spans="1:4" ht="15.75" thickBot="1" x14ac:dyDescent="0.25">
      <c r="A39" s="12" t="s">
        <v>265</v>
      </c>
      <c r="B39" s="17">
        <v>0</v>
      </c>
      <c r="C39" s="18">
        <v>0</v>
      </c>
      <c r="D39" s="19">
        <v>0</v>
      </c>
    </row>
    <row r="40" spans="1:4" ht="15" x14ac:dyDescent="0.2">
      <c r="A40" s="12" t="s">
        <v>271</v>
      </c>
      <c r="B40" s="17">
        <v>0</v>
      </c>
      <c r="C40" s="18">
        <v>0</v>
      </c>
      <c r="D40" s="19">
        <v>0</v>
      </c>
    </row>
    <row r="41" spans="1:4" ht="13.5" thickBot="1" x14ac:dyDescent="0.25"/>
    <row r="42" spans="1:4" ht="13.5" thickBot="1" x14ac:dyDescent="0.25">
      <c r="D42" s="15">
        <v>0</v>
      </c>
    </row>
    <row r="43" spans="1:4" ht="13.5" thickBot="1" x14ac:dyDescent="0.25"/>
    <row r="44" spans="1:4" ht="13.5" thickBot="1" x14ac:dyDescent="0.25">
      <c r="C44" s="14" t="s">
        <v>269</v>
      </c>
      <c r="D44" s="15">
        <v>1140.9000000000001</v>
      </c>
    </row>
  </sheetData>
  <pageMargins left="0.7" right="0.7" top="0.75" bottom="0.75" header="0.3" footer="0.3"/>
  <pageSetup scale="96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0570-AD20-4D5E-AE0B-7F4D899C91D5}">
  <sheetPr>
    <pageSetUpPr fitToPage="1"/>
  </sheetPr>
  <dimension ref="A1:D44"/>
  <sheetViews>
    <sheetView topLeftCell="A14" workbookViewId="0">
      <selection activeCell="H15" sqref="H15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f>'Number Input'!B2</f>
        <v>46023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f>B2+IF(2 &lt; WEEKDAY(B2), 7 - WEEKDAY(B2) + 2, 2 - WEEKDAY(B2))</f>
        <v>46027</v>
      </c>
    </row>
    <row r="5" spans="1:4" ht="15.75" thickBot="1" x14ac:dyDescent="0.25">
      <c r="A5" s="12" t="s">
        <v>266</v>
      </c>
      <c r="B5" s="17" t="e">
        <f>'Number Input'!#REF!</f>
        <v>#REF!</v>
      </c>
      <c r="C5" s="18" t="e">
        <f>IF(ROUND(('Number Input'!#REF!*0.03),2)&gt;B5,B5,(ROUND(('Number Input'!#REF!*0.03),2)))</f>
        <v>#REF!</v>
      </c>
      <c r="D5" s="19" t="e">
        <f>SUM(B5:C5)</f>
        <v>#REF!</v>
      </c>
    </row>
    <row r="6" spans="1:4" ht="15.75" thickBot="1" x14ac:dyDescent="0.25">
      <c r="A6" s="12" t="s">
        <v>265</v>
      </c>
      <c r="B6" s="17" t="e">
        <f>'Number Input'!#REF!</f>
        <v>#REF!</v>
      </c>
      <c r="C6" s="18" t="e">
        <f>IF(ROUND(('Number Input'!#REF!*0.03),2)&gt;B6,B6,(ROUND(('Number Input'!#REF!*0.03),2)))</f>
        <v>#REF!</v>
      </c>
      <c r="D6" s="19" t="e">
        <f>SUM(B6:C6)</f>
        <v>#REF!</v>
      </c>
    </row>
    <row r="7" spans="1:4" ht="15" x14ac:dyDescent="0.2">
      <c r="A7" s="12" t="s">
        <v>272</v>
      </c>
      <c r="B7" s="17" t="e">
        <f>'Number Input'!#REF!</f>
        <v>#REF!</v>
      </c>
      <c r="C7" s="18" t="e">
        <f>IF(ROUND(('Number Input'!#REF!*0.03),2)&gt;B7,B7,(ROUND(('Number Input'!#REF!*0.03),2)))</f>
        <v>#REF!</v>
      </c>
      <c r="D7" s="19" t="e">
        <f>SUM(B7:C7)</f>
        <v>#REF!</v>
      </c>
    </row>
    <row r="8" spans="1:4" ht="13.5" thickBot="1" x14ac:dyDescent="0.25"/>
    <row r="9" spans="1:4" ht="13.5" thickBot="1" x14ac:dyDescent="0.25">
      <c r="D9" s="15" t="e">
        <f>SUM(B5:C7)</f>
        <v>#REF!</v>
      </c>
    </row>
    <row r="11" spans="1:4" ht="15.75" thickBot="1" x14ac:dyDescent="0.3">
      <c r="A11" s="10"/>
      <c r="B11" s="34" t="s">
        <v>267</v>
      </c>
      <c r="C11" s="34" t="s">
        <v>268</v>
      </c>
      <c r="D11" s="9" t="s">
        <v>7</v>
      </c>
    </row>
    <row r="12" spans="1:4" ht="13.5" thickBot="1" x14ac:dyDescent="0.25">
      <c r="A12" s="35">
        <f>A4+7</f>
        <v>46034</v>
      </c>
    </row>
    <row r="13" spans="1:4" ht="15.75" thickBot="1" x14ac:dyDescent="0.25">
      <c r="A13" s="12" t="s">
        <v>266</v>
      </c>
      <c r="B13" s="17">
        <f>'Number Input'!B20</f>
        <v>140.49</v>
      </c>
      <c r="C13" s="18">
        <f>IF(ROUND(('Number Input'!C20*0.03),2)&gt;B13,B13,(ROUND(('Number Input'!C20*0.03),2)))</f>
        <v>28.1</v>
      </c>
      <c r="D13" s="19">
        <f>SUM(B13:C13)</f>
        <v>168.59</v>
      </c>
    </row>
    <row r="14" spans="1:4" ht="15.75" thickBot="1" x14ac:dyDescent="0.25">
      <c r="A14" s="12" t="s">
        <v>265</v>
      </c>
      <c r="B14" s="17">
        <f>'Number Input'!B21</f>
        <v>53.69</v>
      </c>
      <c r="C14" s="18">
        <f>IF(ROUND(('Number Input'!C21*0.03),2)&gt;B14,B14,(ROUND(('Number Input'!C21*0.03),2)))</f>
        <v>32.22</v>
      </c>
      <c r="D14" s="19">
        <f>SUM(B14:C14)</f>
        <v>85.91</v>
      </c>
    </row>
    <row r="15" spans="1:4" ht="15" x14ac:dyDescent="0.2">
      <c r="A15" s="12" t="s">
        <v>272</v>
      </c>
      <c r="B15" s="17" t="e">
        <f>'Number Input'!#REF!</f>
        <v>#REF!</v>
      </c>
      <c r="C15" s="18" t="e">
        <f>IF(ROUND(('Number Input'!#REF!*0.03),2)&gt;B15,B15,(ROUND(('Number Input'!#REF!*0.03),2)))</f>
        <v>#REF!</v>
      </c>
      <c r="D15" s="19" t="e">
        <f>SUM(B15:C15)</f>
        <v>#REF!</v>
      </c>
    </row>
    <row r="16" spans="1:4" ht="13.5" thickBot="1" x14ac:dyDescent="0.25"/>
    <row r="17" spans="1:4" ht="13.5" thickBot="1" x14ac:dyDescent="0.25">
      <c r="D17" s="15" t="e">
        <f>SUM(B13:C15)</f>
        <v>#REF!</v>
      </c>
    </row>
    <row r="20" spans="1:4" ht="15.75" thickBot="1" x14ac:dyDescent="0.3">
      <c r="B20" s="34" t="s">
        <v>267</v>
      </c>
      <c r="C20" s="34" t="s">
        <v>268</v>
      </c>
      <c r="D20" s="9" t="s">
        <v>7</v>
      </c>
    </row>
    <row r="21" spans="1:4" ht="13.5" thickBot="1" x14ac:dyDescent="0.25">
      <c r="A21" s="35">
        <f>A12+7</f>
        <v>46041</v>
      </c>
    </row>
    <row r="22" spans="1:4" ht="15.75" thickBot="1" x14ac:dyDescent="0.25">
      <c r="A22" s="12" t="s">
        <v>266</v>
      </c>
      <c r="B22" s="17">
        <f>'Number Input'!B28</f>
        <v>140.49</v>
      </c>
      <c r="C22" s="18">
        <f>IF(ROUND(('Number Input'!C28*0.03),2)&gt;B22,B22,(ROUND(('Number Input'!C28*0.03),2)))</f>
        <v>28.1</v>
      </c>
      <c r="D22" s="19">
        <f>SUM(B22:C22)</f>
        <v>168.59</v>
      </c>
    </row>
    <row r="23" spans="1:4" ht="15.75" thickBot="1" x14ac:dyDescent="0.25">
      <c r="A23" s="12" t="s">
        <v>265</v>
      </c>
      <c r="B23" s="17">
        <f>'Number Input'!B29</f>
        <v>56.52</v>
      </c>
      <c r="C23" s="18">
        <f>IF(ROUND(('Number Input'!C29*0.03),2)&gt;B23,B23,(ROUND(('Number Input'!C29*0.03),2)))</f>
        <v>33.909999999999997</v>
      </c>
      <c r="D23" s="19">
        <f>SUM(B23:C23)</f>
        <v>90.43</v>
      </c>
    </row>
    <row r="24" spans="1:4" ht="15" x14ac:dyDescent="0.2">
      <c r="A24" s="12" t="s">
        <v>272</v>
      </c>
      <c r="B24" s="17" t="e">
        <f>'Number Input'!#REF!</f>
        <v>#REF!</v>
      </c>
      <c r="C24" s="18" t="e">
        <f>IF(ROUND(('Number Input'!#REF!*0.03),2)&gt;B24,B24,(ROUND(('Number Input'!#REF!*0.03),2)))</f>
        <v>#REF!</v>
      </c>
      <c r="D24" s="19" t="e">
        <f>SUM(B24:C24)</f>
        <v>#REF!</v>
      </c>
    </row>
    <row r="25" spans="1:4" ht="15.75" thickBot="1" x14ac:dyDescent="0.25">
      <c r="A25" s="12"/>
      <c r="B25" s="26"/>
      <c r="C25" s="26"/>
      <c r="D25" s="27"/>
    </row>
    <row r="26" spans="1:4" ht="13.5" thickBot="1" x14ac:dyDescent="0.25">
      <c r="D26" s="15" t="e">
        <f>SUM(B21:C24)</f>
        <v>#REF!</v>
      </c>
    </row>
    <row r="28" spans="1:4" ht="15.75" thickBot="1" x14ac:dyDescent="0.3">
      <c r="A28" s="10"/>
      <c r="B28" s="34" t="s">
        <v>267</v>
      </c>
      <c r="C28" s="34" t="s">
        <v>268</v>
      </c>
      <c r="D28" s="9" t="s">
        <v>7</v>
      </c>
    </row>
    <row r="29" spans="1:4" ht="13.5" thickBot="1" x14ac:dyDescent="0.25">
      <c r="A29" s="35">
        <f>A21+7</f>
        <v>46048</v>
      </c>
    </row>
    <row r="30" spans="1:4" ht="15.75" thickBot="1" x14ac:dyDescent="0.25">
      <c r="A30" s="12" t="s">
        <v>266</v>
      </c>
      <c r="B30" s="17">
        <f>'Number Input'!B35</f>
        <v>0</v>
      </c>
      <c r="C30" s="18">
        <f>IF(ROUND(('Number Input'!C35*0.03),2)&gt;B30,B30,(ROUND(('Number Input'!C35*0.03),2)))</f>
        <v>0</v>
      </c>
      <c r="D30" s="19">
        <f>SUM(B30:C30)</f>
        <v>0</v>
      </c>
    </row>
    <row r="31" spans="1:4" ht="15.75" thickBot="1" x14ac:dyDescent="0.25">
      <c r="A31" s="12" t="s">
        <v>265</v>
      </c>
      <c r="B31" s="17">
        <f>'Number Input'!B36</f>
        <v>140.49</v>
      </c>
      <c r="C31" s="18">
        <f>IF(ROUND(('Number Input'!C36*0.03),2)&gt;B31,B31,(ROUND(('Number Input'!C36*0.03),2)))</f>
        <v>28.1</v>
      </c>
      <c r="D31" s="19">
        <f>SUM(B31:C31)</f>
        <v>168.59</v>
      </c>
    </row>
    <row r="32" spans="1:4" ht="15" x14ac:dyDescent="0.2">
      <c r="A32" s="12" t="s">
        <v>272</v>
      </c>
      <c r="B32" s="17" t="e">
        <f>'Number Input'!#REF!</f>
        <v>#REF!</v>
      </c>
      <c r="C32" s="18" t="e">
        <f>IF(ROUND(('Number Input'!#REF!*0.03),2)&gt;B32,B32,(ROUND(('Number Input'!#REF!*0.03),2)))</f>
        <v>#REF!</v>
      </c>
      <c r="D32" s="19" t="e">
        <f>SUM(B32:C32)</f>
        <v>#REF!</v>
      </c>
    </row>
    <row r="33" spans="1:4" ht="12.75" customHeight="1" thickBot="1" x14ac:dyDescent="0.25">
      <c r="A33" s="12"/>
      <c r="B33" s="26"/>
      <c r="C33" s="26"/>
      <c r="D33" s="26"/>
    </row>
    <row r="34" spans="1:4" ht="15.75" thickBot="1" x14ac:dyDescent="0.25">
      <c r="A34" s="12"/>
      <c r="B34" s="26"/>
      <c r="C34" s="26"/>
      <c r="D34" s="15" t="e">
        <f>SUM(B29:C32)</f>
        <v>#REF!</v>
      </c>
    </row>
    <row r="36" spans="1:4" ht="15.75" thickBot="1" x14ac:dyDescent="0.3">
      <c r="A36" s="10"/>
      <c r="B36" s="34" t="s">
        <v>267</v>
      </c>
      <c r="C36" s="34" t="s">
        <v>268</v>
      </c>
      <c r="D36" s="9" t="s">
        <v>7</v>
      </c>
    </row>
    <row r="37" spans="1:4" ht="13.5" thickBot="1" x14ac:dyDescent="0.25">
      <c r="A37" s="35" t="str">
        <f>IF(MONTH(B2)=MONTH(A29+7),A29+7,"No Week 5 Paycheck")</f>
        <v>No Week 5 Paycheck</v>
      </c>
    </row>
    <row r="38" spans="1:4" ht="15.75" thickBot="1" x14ac:dyDescent="0.25">
      <c r="A38" s="12" t="s">
        <v>266</v>
      </c>
      <c r="B38" s="17" t="e">
        <f>'Number Input'!#REF!</f>
        <v>#REF!</v>
      </c>
      <c r="C38" s="18" t="e">
        <f>IF(ROUND(('Number Input'!#REF!*0.03),2)&gt;B38,B38,(ROUND(('Number Input'!#REF!*0.03),2)))</f>
        <v>#REF!</v>
      </c>
      <c r="D38" s="19" t="e">
        <f>SUM(B38:C38)</f>
        <v>#REF!</v>
      </c>
    </row>
    <row r="39" spans="1:4" ht="15.75" thickBot="1" x14ac:dyDescent="0.25">
      <c r="A39" s="12" t="s">
        <v>265</v>
      </c>
      <c r="B39" s="17" t="e">
        <f>'Number Input'!#REF!</f>
        <v>#REF!</v>
      </c>
      <c r="C39" s="18" t="e">
        <f>IF(ROUND(('Number Input'!#REF!*0.03),2)&gt;B39,B39,(ROUND(('Number Input'!#REF!*0.03),2)))</f>
        <v>#REF!</v>
      </c>
      <c r="D39" s="19" t="e">
        <f>SUM(B39:C39)</f>
        <v>#REF!</v>
      </c>
    </row>
    <row r="40" spans="1:4" ht="15" x14ac:dyDescent="0.2">
      <c r="A40" s="12" t="s">
        <v>271</v>
      </c>
      <c r="B40" s="17" t="e">
        <f>'Number Input'!#REF!</f>
        <v>#REF!</v>
      </c>
      <c r="C40" s="18" t="e">
        <f>IF(ROUND(('Number Input'!#REF!*0.03),2)&gt;B40,B40,(ROUND(('Number Input'!#REF!*0.03),2)))</f>
        <v>#REF!</v>
      </c>
      <c r="D40" s="19" t="e">
        <f>SUM(B40:C40)</f>
        <v>#REF!</v>
      </c>
    </row>
    <row r="41" spans="1:4" ht="13.5" thickBot="1" x14ac:dyDescent="0.25"/>
    <row r="42" spans="1:4" ht="13.5" thickBot="1" x14ac:dyDescent="0.25">
      <c r="D42" s="15" t="e">
        <f>SUM(B37:C40)</f>
        <v>#REF!</v>
      </c>
    </row>
    <row r="43" spans="1:4" ht="13.5" thickBot="1" x14ac:dyDescent="0.25"/>
    <row r="44" spans="1:4" ht="13.5" thickBot="1" x14ac:dyDescent="0.25">
      <c r="C44" s="14" t="s">
        <v>269</v>
      </c>
      <c r="D44" s="15" t="e">
        <f>D42+D34+D26+D17+D9</f>
        <v>#REF!</v>
      </c>
    </row>
  </sheetData>
  <pageMargins left="0.7" right="0.7" top="0.75" bottom="0.75" header="0.3" footer="0.3"/>
  <pageSetup scale="96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1F5F-2EA0-42F9-AE03-CE652414399F}">
  <sheetPr>
    <pageSetUpPr fitToPage="1"/>
  </sheetPr>
  <dimension ref="A1:D39"/>
  <sheetViews>
    <sheetView topLeftCell="A9" workbookViewId="0">
      <selection activeCell="D1" sqref="D1:D65536"/>
    </sheetView>
  </sheetViews>
  <sheetFormatPr defaultRowHeight="12.75" x14ac:dyDescent="0.2"/>
  <cols>
    <col min="1" max="1" width="26" style="8" bestFit="1" customWidth="1"/>
    <col min="2" max="2" width="22.5703125" style="9" bestFit="1" customWidth="1"/>
    <col min="3" max="3" width="24.42578125" style="9" bestFit="1" customWidth="1"/>
    <col min="4" max="4" width="12.42578125" style="9" bestFit="1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44866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44872</v>
      </c>
    </row>
    <row r="5" spans="1:4" ht="15.75" thickBot="1" x14ac:dyDescent="0.25">
      <c r="A5" s="12" t="s">
        <v>266</v>
      </c>
      <c r="B5" s="17">
        <v>129.99</v>
      </c>
      <c r="C5" s="18">
        <v>26</v>
      </c>
      <c r="D5" s="19">
        <v>155.99</v>
      </c>
    </row>
    <row r="6" spans="1:4" ht="15" x14ac:dyDescent="0.2">
      <c r="A6" s="12" t="s">
        <v>265</v>
      </c>
      <c r="B6" s="17">
        <v>49.71</v>
      </c>
      <c r="C6" s="18">
        <v>29.82</v>
      </c>
      <c r="D6" s="19">
        <v>79.53</v>
      </c>
    </row>
    <row r="7" spans="1:4" ht="13.5" thickBot="1" x14ac:dyDescent="0.25"/>
    <row r="8" spans="1:4" ht="13.5" thickBot="1" x14ac:dyDescent="0.25">
      <c r="D8" s="15">
        <v>235.52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44879</v>
      </c>
    </row>
    <row r="12" spans="1:4" ht="15.75" thickBot="1" x14ac:dyDescent="0.25">
      <c r="A12" s="12" t="s">
        <v>266</v>
      </c>
      <c r="B12" s="17">
        <v>129.99</v>
      </c>
      <c r="C12" s="18">
        <v>26</v>
      </c>
      <c r="D12" s="19">
        <v>155.99</v>
      </c>
    </row>
    <row r="13" spans="1:4" ht="15" x14ac:dyDescent="0.2">
      <c r="A13" s="12" t="s">
        <v>265</v>
      </c>
      <c r="B13" s="17">
        <v>49.48</v>
      </c>
      <c r="C13" s="18">
        <v>29.69</v>
      </c>
      <c r="D13" s="19">
        <v>79.17</v>
      </c>
    </row>
    <row r="14" spans="1:4" ht="13.5" thickBot="1" x14ac:dyDescent="0.25"/>
    <row r="15" spans="1:4" ht="13.5" thickBot="1" x14ac:dyDescent="0.25">
      <c r="D15" s="15">
        <v>235.16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44886</v>
      </c>
    </row>
    <row r="20" spans="1:4" ht="15.75" thickBot="1" x14ac:dyDescent="0.25">
      <c r="A20" s="12" t="s">
        <v>266</v>
      </c>
      <c r="B20" s="17">
        <v>129.99</v>
      </c>
      <c r="C20" s="18">
        <v>26</v>
      </c>
      <c r="D20" s="19">
        <v>155.99</v>
      </c>
    </row>
    <row r="21" spans="1:4" ht="15" x14ac:dyDescent="0.2">
      <c r="A21" s="12" t="s">
        <v>265</v>
      </c>
      <c r="B21" s="17">
        <v>49.48</v>
      </c>
      <c r="C21" s="18">
        <v>29.69</v>
      </c>
      <c r="D21" s="19">
        <v>79.17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235.16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44893</v>
      </c>
    </row>
    <row r="27" spans="1:4" ht="15.75" thickBot="1" x14ac:dyDescent="0.25">
      <c r="A27" s="12" t="s">
        <v>266</v>
      </c>
      <c r="B27" s="17">
        <v>129.99</v>
      </c>
      <c r="C27" s="18">
        <v>26</v>
      </c>
      <c r="D27" s="19">
        <v>155.99</v>
      </c>
    </row>
    <row r="28" spans="1:4" ht="15" x14ac:dyDescent="0.2">
      <c r="A28" s="12" t="s">
        <v>265</v>
      </c>
      <c r="B28" s="17">
        <v>50.14</v>
      </c>
      <c r="C28" s="18">
        <v>30.09</v>
      </c>
      <c r="D28" s="19">
        <v>80.23</v>
      </c>
    </row>
    <row r="29" spans="1:4" ht="15.75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236.22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942.06</v>
      </c>
    </row>
  </sheetData>
  <pageMargins left="0.7" right="0.7" top="0.75" bottom="0.75" header="0.3" footer="0.3"/>
  <pageSetup scale="96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80FB-47E4-4737-B97D-E162912C6F5A}">
  <sheetPr>
    <pageSetUpPr fitToPage="1"/>
  </sheetPr>
  <dimension ref="A1:D39"/>
  <sheetViews>
    <sheetView workbookViewId="0">
      <selection activeCell="C17" sqref="C17"/>
    </sheetView>
  </sheetViews>
  <sheetFormatPr defaultRowHeight="12.75" x14ac:dyDescent="0.2"/>
  <cols>
    <col min="1" max="1" width="26" style="8" bestFit="1" customWidth="1"/>
    <col min="2" max="2" width="22.5703125" style="26" bestFit="1" customWidth="1"/>
    <col min="3" max="3" width="24.42578125" style="26" bestFit="1" customWidth="1"/>
    <col min="4" max="4" width="12.42578125" style="26" bestFit="1" customWidth="1"/>
  </cols>
  <sheetData>
    <row r="1" spans="1:4" ht="13.5" thickBot="1" x14ac:dyDescent="0.25">
      <c r="A1" s="8" t="s">
        <v>0</v>
      </c>
      <c r="B1" s="9"/>
      <c r="C1" s="9"/>
      <c r="D1" s="9"/>
    </row>
    <row r="2" spans="1:4" ht="13.5" thickBot="1" x14ac:dyDescent="0.25">
      <c r="A2" s="11" t="s">
        <v>270</v>
      </c>
      <c r="B2" s="35">
        <v>44896</v>
      </c>
      <c r="C2" s="9"/>
      <c r="D2" s="9"/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44900</v>
      </c>
      <c r="B4" s="9"/>
      <c r="C4" s="9"/>
      <c r="D4" s="9"/>
    </row>
    <row r="5" spans="1:4" ht="15.75" thickBot="1" x14ac:dyDescent="0.25">
      <c r="A5" s="12" t="s">
        <v>266</v>
      </c>
      <c r="B5" s="17">
        <v>129.99</v>
      </c>
      <c r="C5" s="18">
        <v>26</v>
      </c>
      <c r="D5" s="19">
        <v>155.99</v>
      </c>
    </row>
    <row r="6" spans="1:4" ht="15" x14ac:dyDescent="0.2">
      <c r="A6" s="12" t="s">
        <v>265</v>
      </c>
      <c r="B6" s="17">
        <v>50.37</v>
      </c>
      <c r="C6" s="18">
        <v>30.22</v>
      </c>
      <c r="D6" s="19">
        <v>80.59</v>
      </c>
    </row>
    <row r="7" spans="1:4" ht="13.5" thickBot="1" x14ac:dyDescent="0.25">
      <c r="B7" s="9"/>
      <c r="C7" s="9"/>
      <c r="D7" s="9"/>
    </row>
    <row r="8" spans="1:4" ht="13.5" thickBot="1" x14ac:dyDescent="0.25">
      <c r="B8" s="9"/>
      <c r="C8" s="9"/>
      <c r="D8" s="15">
        <v>236.58</v>
      </c>
    </row>
    <row r="9" spans="1:4" x14ac:dyDescent="0.2">
      <c r="B9" s="9"/>
      <c r="C9" s="9"/>
      <c r="D9" s="9"/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44907</v>
      </c>
      <c r="B11" s="9"/>
      <c r="C11" s="9"/>
      <c r="D11" s="9"/>
    </row>
    <row r="12" spans="1:4" ht="15.75" thickBot="1" x14ac:dyDescent="0.25">
      <c r="A12" s="12" t="s">
        <v>266</v>
      </c>
      <c r="B12" s="17">
        <v>129.99</v>
      </c>
      <c r="C12" s="18">
        <v>26</v>
      </c>
      <c r="D12" s="19">
        <v>155.99</v>
      </c>
    </row>
    <row r="13" spans="1:4" ht="15" x14ac:dyDescent="0.2">
      <c r="A13" s="12" t="s">
        <v>265</v>
      </c>
      <c r="B13" s="17">
        <v>50.37</v>
      </c>
      <c r="C13" s="18">
        <v>30.22</v>
      </c>
      <c r="D13" s="19">
        <v>80.59</v>
      </c>
    </row>
    <row r="14" spans="1:4" ht="13.5" thickBot="1" x14ac:dyDescent="0.25">
      <c r="B14" s="9"/>
      <c r="C14" s="9"/>
      <c r="D14" s="9"/>
    </row>
    <row r="15" spans="1:4" ht="13.5" thickBot="1" x14ac:dyDescent="0.25">
      <c r="B15" s="9"/>
      <c r="C15" s="9"/>
      <c r="D15" s="15">
        <v>236.58</v>
      </c>
    </row>
    <row r="16" spans="1:4" x14ac:dyDescent="0.2">
      <c r="B16" s="9"/>
      <c r="C16" s="9"/>
      <c r="D16" s="9"/>
    </row>
    <row r="17" spans="1:4" x14ac:dyDescent="0.2">
      <c r="B17" s="9"/>
      <c r="C17" s="9"/>
      <c r="D17" s="9"/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44914</v>
      </c>
      <c r="B19" s="9"/>
      <c r="C19" s="9"/>
      <c r="D19" s="9"/>
    </row>
    <row r="20" spans="1:4" ht="15.75" thickBot="1" x14ac:dyDescent="0.25">
      <c r="A20" s="12" t="s">
        <v>266</v>
      </c>
      <c r="B20" s="17">
        <v>135.99</v>
      </c>
      <c r="C20" s="18">
        <v>27.18</v>
      </c>
      <c r="D20" s="19">
        <v>163.17000000000002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D22" s="27"/>
    </row>
    <row r="23" spans="1:4" ht="13.5" thickBot="1" x14ac:dyDescent="0.25">
      <c r="B23" s="9"/>
      <c r="C23" s="9"/>
      <c r="D23" s="15">
        <v>245.7</v>
      </c>
    </row>
    <row r="24" spans="1:4" x14ac:dyDescent="0.2">
      <c r="B24" s="9"/>
      <c r="C24" s="9"/>
      <c r="D24" s="9"/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44921</v>
      </c>
      <c r="B26" s="9"/>
      <c r="C26" s="9"/>
      <c r="D26" s="9"/>
    </row>
    <row r="27" spans="1:4" ht="15.75" thickBot="1" x14ac:dyDescent="0.25">
      <c r="A27" s="12" t="s">
        <v>266</v>
      </c>
      <c r="B27" s="17">
        <v>135.99</v>
      </c>
      <c r="C27" s="18">
        <v>27.18</v>
      </c>
      <c r="D27" s="19">
        <v>163.17000000000002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5.75" thickBot="1" x14ac:dyDescent="0.25">
      <c r="A29" s="12"/>
    </row>
    <row r="30" spans="1:4" ht="15.75" thickBot="1" x14ac:dyDescent="0.25">
      <c r="A30" s="12"/>
      <c r="D30" s="15">
        <v>245.7</v>
      </c>
    </row>
    <row r="31" spans="1:4" x14ac:dyDescent="0.2">
      <c r="B31" s="9"/>
      <c r="C31" s="9"/>
      <c r="D31" s="9"/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  <c r="B33" s="9"/>
      <c r="C33" s="9"/>
      <c r="D33" s="9"/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>
      <c r="B36" s="9"/>
      <c r="C36" s="9"/>
      <c r="D36" s="9"/>
    </row>
    <row r="37" spans="1:4" ht="13.5" thickBot="1" x14ac:dyDescent="0.25">
      <c r="B37" s="9"/>
      <c r="C37" s="9"/>
      <c r="D37" s="15">
        <v>0</v>
      </c>
    </row>
    <row r="38" spans="1:4" ht="13.5" thickBot="1" x14ac:dyDescent="0.25">
      <c r="B38" s="9"/>
      <c r="C38" s="9"/>
      <c r="D38" s="9"/>
    </row>
    <row r="39" spans="1:4" ht="13.5" thickBot="1" x14ac:dyDescent="0.25">
      <c r="B39" s="9"/>
      <c r="C39" s="14" t="s">
        <v>269</v>
      </c>
      <c r="D39" s="15">
        <v>964.56000000000006</v>
      </c>
    </row>
  </sheetData>
  <pageMargins left="0.7" right="0.7" top="0.75" bottom="0.75" header="0.3" footer="0.3"/>
  <pageSetup scale="96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BE3C-C4DB-448E-B201-62AD46E0D6B6}">
  <sheetPr>
    <pageSetUpPr fitToPage="1"/>
  </sheetPr>
  <dimension ref="A1:D44"/>
  <sheetViews>
    <sheetView workbookViewId="0">
      <selection activeCell="J15" sqref="J15"/>
    </sheetView>
  </sheetViews>
  <sheetFormatPr defaultRowHeight="12.75" x14ac:dyDescent="0.2"/>
  <cols>
    <col min="1" max="1" width="25.85546875" style="8" bestFit="1" customWidth="1"/>
    <col min="2" max="2" width="21" style="26" customWidth="1"/>
    <col min="3" max="3" width="26.42578125" style="26" customWidth="1"/>
    <col min="4" max="4" width="21.140625" style="26" customWidth="1"/>
  </cols>
  <sheetData>
    <row r="1" spans="1:4" ht="13.5" thickBot="1" x14ac:dyDescent="0.25">
      <c r="A1" s="8" t="s">
        <v>0</v>
      </c>
      <c r="B1" s="9"/>
      <c r="C1" s="9"/>
      <c r="D1" s="9"/>
    </row>
    <row r="2" spans="1:4" ht="13.5" thickBot="1" x14ac:dyDescent="0.25">
      <c r="A2" s="11" t="s">
        <v>270</v>
      </c>
      <c r="B2" s="35">
        <v>44927</v>
      </c>
      <c r="C2" s="9"/>
      <c r="D2" s="9"/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44928</v>
      </c>
      <c r="B4" s="9"/>
      <c r="C4" s="9"/>
      <c r="D4" s="9"/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>
      <c r="B7" s="9"/>
      <c r="C7" s="9"/>
      <c r="D7" s="9"/>
    </row>
    <row r="8" spans="1:4" ht="13.5" thickBot="1" x14ac:dyDescent="0.25">
      <c r="B8" s="9"/>
      <c r="C8" s="9"/>
      <c r="D8" s="15">
        <v>245.71999999999997</v>
      </c>
    </row>
    <row r="9" spans="1:4" x14ac:dyDescent="0.2">
      <c r="B9" s="9"/>
      <c r="C9" s="9"/>
      <c r="D9" s="9"/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44935</v>
      </c>
      <c r="B11" s="9"/>
      <c r="C11" s="9"/>
      <c r="D11" s="9"/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>
      <c r="B14" s="9"/>
      <c r="C14" s="9"/>
      <c r="D14" s="9"/>
    </row>
    <row r="15" spans="1:4" ht="13.5" thickBot="1" x14ac:dyDescent="0.25">
      <c r="B15" s="9"/>
      <c r="C15" s="9"/>
      <c r="D15" s="15">
        <v>245.71999999999997</v>
      </c>
    </row>
    <row r="16" spans="1:4" x14ac:dyDescent="0.2">
      <c r="B16" s="9"/>
      <c r="C16" s="9"/>
      <c r="D16" s="9"/>
    </row>
    <row r="17" spans="1:4" x14ac:dyDescent="0.2">
      <c r="B17" s="9"/>
      <c r="C17" s="9"/>
      <c r="D17" s="9"/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44942</v>
      </c>
      <c r="B19" s="9"/>
      <c r="C19" s="9"/>
      <c r="D19" s="9"/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D22" s="27"/>
    </row>
    <row r="23" spans="1:4" ht="13.5" thickBot="1" x14ac:dyDescent="0.25">
      <c r="B23" s="9"/>
      <c r="C23" s="9"/>
      <c r="D23" s="15">
        <v>245.71999999999997</v>
      </c>
    </row>
    <row r="24" spans="1:4" x14ac:dyDescent="0.2">
      <c r="B24" s="9"/>
      <c r="C24" s="9"/>
      <c r="D24" s="9"/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44949</v>
      </c>
      <c r="B26" s="9"/>
      <c r="C26" s="9"/>
      <c r="D26" s="9"/>
    </row>
    <row r="27" spans="1:4" ht="15.75" thickBot="1" x14ac:dyDescent="0.25">
      <c r="A27" s="12" t="s">
        <v>266</v>
      </c>
      <c r="B27" s="17">
        <v>129.19</v>
      </c>
      <c r="C27" s="18">
        <v>25.84</v>
      </c>
      <c r="D27" s="19">
        <v>155.03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5.75" thickBot="1" x14ac:dyDescent="0.25">
      <c r="A29" s="12"/>
    </row>
    <row r="30" spans="1:4" ht="15.75" thickBot="1" x14ac:dyDescent="0.25">
      <c r="A30" s="12"/>
      <c r="D30" s="15">
        <v>237.56</v>
      </c>
    </row>
    <row r="31" spans="1:4" x14ac:dyDescent="0.2">
      <c r="B31" s="9"/>
      <c r="C31" s="9"/>
      <c r="D31" s="9"/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2.75" customHeight="1" thickBot="1" x14ac:dyDescent="0.25">
      <c r="A33" s="35">
        <v>44956</v>
      </c>
      <c r="B33" s="9"/>
      <c r="C33" s="9"/>
      <c r="D33" s="9"/>
    </row>
    <row r="34" spans="1:4" ht="15.75" thickBot="1" x14ac:dyDescent="0.25">
      <c r="A34" s="12" t="s">
        <v>266</v>
      </c>
      <c r="B34" s="17">
        <v>55.51</v>
      </c>
      <c r="C34" s="18">
        <v>26.86</v>
      </c>
      <c r="D34" s="19">
        <v>82.37</v>
      </c>
    </row>
    <row r="35" spans="1:4" ht="15" x14ac:dyDescent="0.2">
      <c r="A35" s="12" t="s">
        <v>265</v>
      </c>
      <c r="B35" s="17">
        <v>51.58</v>
      </c>
      <c r="C35" s="18">
        <v>30.95</v>
      </c>
      <c r="D35" s="19">
        <v>82.53</v>
      </c>
    </row>
    <row r="36" spans="1:4" ht="13.5" thickBot="1" x14ac:dyDescent="0.25">
      <c r="B36" s="9"/>
      <c r="C36" s="9"/>
      <c r="D36" s="9"/>
    </row>
    <row r="37" spans="1:4" ht="13.5" thickBot="1" x14ac:dyDescent="0.25">
      <c r="B37" s="9"/>
      <c r="C37" s="9"/>
      <c r="D37" s="15">
        <v>164.89999999999998</v>
      </c>
    </row>
    <row r="38" spans="1:4" ht="13.5" thickBot="1" x14ac:dyDescent="0.25">
      <c r="B38" s="9"/>
      <c r="C38" s="9"/>
      <c r="D38" s="9"/>
    </row>
    <row r="39" spans="1:4" ht="13.5" thickBot="1" x14ac:dyDescent="0.25">
      <c r="B39" s="9"/>
      <c r="C39" s="14" t="s">
        <v>269</v>
      </c>
      <c r="D39" s="15">
        <v>1139.6199999999999</v>
      </c>
    </row>
    <row r="40" spans="1:4" ht="15" x14ac:dyDescent="0.2">
      <c r="A40" s="12"/>
    </row>
    <row r="44" spans="1:4" x14ac:dyDescent="0.2">
      <c r="C44" s="36"/>
    </row>
  </sheetData>
  <pageMargins left="0.7" right="0.7" top="0.75" bottom="0.75" header="0.3" footer="0.3"/>
  <pageSetup scale="96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B7E0-0BC0-4E91-8570-0725ED7D2659}">
  <sheetPr>
    <pageSetUpPr fitToPage="1"/>
  </sheetPr>
  <dimension ref="A1:D39"/>
  <sheetViews>
    <sheetView workbookViewId="0">
      <selection activeCell="B13" sqref="B1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44958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44963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51.13</v>
      </c>
      <c r="C6" s="18">
        <v>30.68</v>
      </c>
      <c r="D6" s="19">
        <v>81.81</v>
      </c>
    </row>
    <row r="7" spans="1:4" ht="13.5" thickBot="1" x14ac:dyDescent="0.25"/>
    <row r="8" spans="1:4" ht="13.5" thickBot="1" x14ac:dyDescent="0.25">
      <c r="D8" s="15">
        <v>245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44970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44977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51.24</v>
      </c>
      <c r="C21" s="18">
        <v>30.74</v>
      </c>
      <c r="D21" s="19">
        <v>81.98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245.17000000000002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44984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245.71999999999997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981.6099999999999</v>
      </c>
    </row>
  </sheetData>
  <pageMargins left="0.7" right="0.7" top="0.75" bottom="0.75" header="0.3" footer="0.3"/>
  <pageSetup scale="96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D906-7C37-496E-91DF-56FFA50DA965}">
  <sheetPr>
    <pageSetUpPr fitToPage="1"/>
  </sheetPr>
  <dimension ref="A1:D39"/>
  <sheetViews>
    <sheetView workbookViewId="0"/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44986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44991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51.13</v>
      </c>
      <c r="C6" s="18">
        <v>30.68</v>
      </c>
      <c r="D6" s="19">
        <v>81.81</v>
      </c>
    </row>
    <row r="7" spans="1:4" ht="13.5" thickBot="1" x14ac:dyDescent="0.25"/>
    <row r="8" spans="1:4" ht="13.5" thickBot="1" x14ac:dyDescent="0.25">
      <c r="D8" s="15">
        <v>245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44998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45005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45012</v>
      </c>
    </row>
    <row r="27" spans="1:4" ht="15.75" thickBot="1" x14ac:dyDescent="0.25">
      <c r="A27" s="12" t="s">
        <v>266</v>
      </c>
      <c r="B27" s="17">
        <v>81.59</v>
      </c>
      <c r="C27" s="18">
        <v>16.32</v>
      </c>
      <c r="D27" s="19">
        <v>97.91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180.44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916.87999999999988</v>
      </c>
    </row>
  </sheetData>
  <pageMargins left="0.7" right="0.7" top="0.75" bottom="0.75" header="0.3" footer="0.3"/>
  <pageSetup scale="96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DE38-B797-498D-8596-7CF451A3C301}">
  <sheetPr>
    <pageSetUpPr fitToPage="1"/>
  </sheetPr>
  <dimension ref="A1:D39"/>
  <sheetViews>
    <sheetView topLeftCell="A14" workbookViewId="0"/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45017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45019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245.71999999999997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45026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45033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45040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245.71999999999997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982.87999999999988</v>
      </c>
    </row>
  </sheetData>
  <pageMargins left="0.7" right="0.7" top="0.75" bottom="0.75" header="0.3" footer="0.3"/>
  <pageSetup scale="96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E4A8-5820-4F52-B81A-AFDA2A45E67C}">
  <sheetPr>
    <pageSetUpPr fitToPage="1"/>
  </sheetPr>
  <dimension ref="A1:D39"/>
  <sheetViews>
    <sheetView workbookViewId="0">
      <selection sqref="A1:IV655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45047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45047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245.71999999999997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45054</v>
      </c>
    </row>
    <row r="12" spans="1:4" ht="15.75" thickBot="1" x14ac:dyDescent="0.25">
      <c r="A12" s="12" t="s">
        <v>266</v>
      </c>
      <c r="B12" s="17">
        <v>132.59</v>
      </c>
      <c r="C12" s="18">
        <v>26.82</v>
      </c>
      <c r="D12" s="19">
        <v>159.41</v>
      </c>
    </row>
    <row r="13" spans="1:4" ht="15" x14ac:dyDescent="0.2">
      <c r="A13" s="12" t="s">
        <v>265</v>
      </c>
      <c r="B13" s="17">
        <v>51.35</v>
      </c>
      <c r="C13" s="18">
        <v>30.81</v>
      </c>
      <c r="D13" s="19">
        <v>82.16</v>
      </c>
    </row>
    <row r="14" spans="1:4" ht="13.5" thickBot="1" x14ac:dyDescent="0.25"/>
    <row r="15" spans="1:4" ht="13.5" thickBot="1" x14ac:dyDescent="0.25">
      <c r="D15" s="15">
        <v>241.57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45061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45068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245.71999999999997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>
        <v>45075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978.73</v>
      </c>
    </row>
  </sheetData>
  <pageMargins left="0.7" right="0.7" top="0.75" bottom="0.75" header="0.3" footer="0.3"/>
  <pageSetup scale="96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2130-6074-42F8-BDBB-F4A315B4EA92}">
  <sheetPr>
    <pageSetUpPr fitToPage="1"/>
  </sheetPr>
  <dimension ref="A1:D39"/>
  <sheetViews>
    <sheetView topLeftCell="A3" workbookViewId="0">
      <selection activeCell="B29" sqref="B29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45078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45082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245.71999999999997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45089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45096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45103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31.58</v>
      </c>
      <c r="C28" s="18">
        <v>30.95</v>
      </c>
      <c r="D28" s="19">
        <v>62.53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225.72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962.88</v>
      </c>
    </row>
  </sheetData>
  <pageMargins left="0.7" right="0.7" top="0.75" bottom="0.75" header="0.3" footer="0.3"/>
  <pageSetup scale="96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33F7-D353-415F-B402-27D3420AA903}">
  <sheetPr>
    <pageSetUpPr fitToPage="1"/>
  </sheetPr>
  <dimension ref="A1:D39"/>
  <sheetViews>
    <sheetView workbookViewId="0">
      <selection sqref="A1:IV655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45108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45110</v>
      </c>
    </row>
    <row r="5" spans="1:4" ht="15.75" thickBot="1" x14ac:dyDescent="0.25">
      <c r="A5" s="12" t="s">
        <v>266</v>
      </c>
      <c r="B5" s="17">
        <v>81.59</v>
      </c>
      <c r="C5" s="18">
        <v>16.32</v>
      </c>
      <c r="D5" s="19">
        <v>97.91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180.44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45117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52.27</v>
      </c>
      <c r="C13" s="18">
        <v>31.36</v>
      </c>
      <c r="D13" s="19">
        <v>83.63</v>
      </c>
    </row>
    <row r="14" spans="1:4" ht="13.5" thickBot="1" x14ac:dyDescent="0.25"/>
    <row r="15" spans="1:4" ht="13.5" thickBot="1" x14ac:dyDescent="0.25">
      <c r="D15" s="15">
        <v>246.82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45124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45131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245.71999999999997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>
        <v>45138</v>
      </c>
    </row>
    <row r="34" spans="1:4" ht="15.75" thickBot="1" x14ac:dyDescent="0.25">
      <c r="A34" s="12" t="s">
        <v>266</v>
      </c>
      <c r="B34" s="17">
        <v>108.79</v>
      </c>
      <c r="C34" s="18">
        <v>21.76</v>
      </c>
      <c r="D34" s="19">
        <v>130.55000000000001</v>
      </c>
    </row>
    <row r="35" spans="1:4" ht="15" x14ac:dyDescent="0.2">
      <c r="A35" s="12" t="s">
        <v>265</v>
      </c>
      <c r="B35" s="17">
        <v>52.27</v>
      </c>
      <c r="C35" s="18">
        <v>31.36</v>
      </c>
      <c r="D35" s="19">
        <v>83.63</v>
      </c>
    </row>
    <row r="36" spans="1:4" ht="13.5" thickBot="1" x14ac:dyDescent="0.25"/>
    <row r="37" spans="1:4" ht="13.5" thickBot="1" x14ac:dyDescent="0.25">
      <c r="D37" s="15">
        <v>214.18</v>
      </c>
    </row>
    <row r="38" spans="1:4" ht="13.5" thickBot="1" x14ac:dyDescent="0.25"/>
    <row r="39" spans="1:4" ht="13.5" thickBot="1" x14ac:dyDescent="0.25">
      <c r="C39" s="14" t="s">
        <v>269</v>
      </c>
      <c r="D39" s="15">
        <v>1132.8799999999999</v>
      </c>
    </row>
  </sheetData>
  <pageMargins left="0.7" right="0.7" top="0.75" bottom="0.75" header="0.3" footer="0.3"/>
  <pageSetup scale="96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D9DB-C7B3-41FE-AC2A-AF95E9C03AF9}">
  <sheetPr>
    <pageSetUpPr fitToPage="1"/>
  </sheetPr>
  <dimension ref="A1:D39"/>
  <sheetViews>
    <sheetView topLeftCell="A14" workbookViewId="0"/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45139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45145</v>
      </c>
    </row>
    <row r="5" spans="1:4" ht="15.75" thickBot="1" x14ac:dyDescent="0.25">
      <c r="A5" s="12" t="s">
        <v>266</v>
      </c>
      <c r="B5" s="17">
        <v>135.99</v>
      </c>
      <c r="C5" s="18">
        <v>19.72</v>
      </c>
      <c r="D5" s="19">
        <v>155.71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238.24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45152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45159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45166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245.71999999999997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975.39999999999986</v>
      </c>
    </row>
  </sheetData>
  <pageMargins left="0.7" right="0.7" top="0.75" bottom="0.75" header="0.3" footer="0.3"/>
  <pageSetup scale="96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F058-14A6-4396-8B67-3C2C7A68551E}">
  <sheetPr>
    <pageSetUpPr fitToPage="1"/>
  </sheetPr>
  <dimension ref="A1:D39"/>
  <sheetViews>
    <sheetView workbookViewId="0"/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45170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45173</v>
      </c>
    </row>
    <row r="5" spans="1:4" ht="15.75" thickBot="1" x14ac:dyDescent="0.25">
      <c r="A5" s="12" t="s">
        <v>266</v>
      </c>
      <c r="B5" s="17">
        <v>135.99</v>
      </c>
      <c r="C5" s="18">
        <v>19.72</v>
      </c>
      <c r="D5" s="19">
        <v>155.71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238.24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45180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45187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45194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245.71999999999997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975.39999999999986</v>
      </c>
    </row>
  </sheetData>
  <pageMargins left="0.7" right="0.7" top="0.75" bottom="0.75" header="0.3" footer="0.3"/>
  <pageSetup scale="96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7D7F-64BC-471B-8EE5-4BCF0F90986B}">
  <sheetPr>
    <pageSetUpPr fitToPage="1"/>
  </sheetPr>
  <dimension ref="A1:D39"/>
  <sheetViews>
    <sheetView workbookViewId="0"/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45200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45201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245.71999999999997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45208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45215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45222</v>
      </c>
    </row>
    <row r="27" spans="1:4" ht="15.75" thickBot="1" x14ac:dyDescent="0.25">
      <c r="A27" s="12" t="s">
        <v>266</v>
      </c>
      <c r="B27" s="17">
        <v>127.49</v>
      </c>
      <c r="C27" s="18">
        <v>25.5</v>
      </c>
      <c r="D27" s="19">
        <v>152.99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235.51999999999998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>
        <v>45229</v>
      </c>
    </row>
    <row r="34" spans="1:4" ht="15.75" thickBot="1" x14ac:dyDescent="0.25">
      <c r="A34" s="12" t="s">
        <v>266</v>
      </c>
      <c r="B34" s="17">
        <v>56.21</v>
      </c>
      <c r="C34" s="18">
        <v>27.2</v>
      </c>
      <c r="D34" s="19">
        <v>83.41</v>
      </c>
    </row>
    <row r="35" spans="1:4" ht="15" x14ac:dyDescent="0.2">
      <c r="A35" s="12" t="s">
        <v>265</v>
      </c>
      <c r="B35" s="17">
        <v>51.58</v>
      </c>
      <c r="C35" s="18">
        <v>30.95</v>
      </c>
      <c r="D35" s="19">
        <v>82.53</v>
      </c>
    </row>
    <row r="36" spans="1:4" ht="13.5" thickBot="1" x14ac:dyDescent="0.25"/>
    <row r="37" spans="1:4" ht="13.5" thickBot="1" x14ac:dyDescent="0.25">
      <c r="D37" s="15">
        <v>165.94</v>
      </c>
    </row>
    <row r="38" spans="1:4" ht="13.5" thickBot="1" x14ac:dyDescent="0.25"/>
    <row r="39" spans="1:4" ht="13.5" thickBot="1" x14ac:dyDescent="0.25">
      <c r="C39" s="14" t="s">
        <v>269</v>
      </c>
      <c r="D39" s="15">
        <v>1138.6199999999999</v>
      </c>
    </row>
  </sheetData>
  <pageMargins left="0.7" right="0.7" top="0.75" bottom="0.75" header="0.3" footer="0.3"/>
  <pageSetup scale="96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3C29-DC43-4BBD-8DC5-96FAA56E2967}">
  <sheetPr>
    <pageSetUpPr fitToPage="1"/>
  </sheetPr>
  <dimension ref="A1:D39"/>
  <sheetViews>
    <sheetView workbookViewId="0">
      <selection sqref="A1:IV655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45231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45236</v>
      </c>
    </row>
    <row r="5" spans="1:4" ht="15.75" thickBot="1" x14ac:dyDescent="0.25">
      <c r="A5" s="12" t="s">
        <v>266</v>
      </c>
      <c r="B5" s="17">
        <v>108.79</v>
      </c>
      <c r="C5" s="18">
        <v>21.76</v>
      </c>
      <c r="D5" s="19">
        <v>130.55000000000001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213.07999999999998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45243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45250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45257</v>
      </c>
    </row>
    <row r="27" spans="1:4" ht="15.75" thickBot="1" x14ac:dyDescent="0.25">
      <c r="A27" s="12" t="s">
        <v>266</v>
      </c>
      <c r="B27" s="17">
        <v>127.49</v>
      </c>
      <c r="C27" s="18">
        <v>25.5</v>
      </c>
      <c r="D27" s="19">
        <v>152.99</v>
      </c>
    </row>
    <row r="28" spans="1:4" ht="15" x14ac:dyDescent="0.2">
      <c r="A28" s="12" t="s">
        <v>265</v>
      </c>
      <c r="B28" s="17">
        <v>50.21</v>
      </c>
      <c r="C28" s="18">
        <v>30.12</v>
      </c>
      <c r="D28" s="19">
        <v>80.33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233.32000000000002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937.83999999999992</v>
      </c>
    </row>
  </sheetData>
  <pageMargins left="0.7" right="0.7" top="0.75" bottom="0.75" header="0.3" footer="0.3"/>
  <pageSetup scale="96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F6B4-276A-43FC-8DF5-9E225004027F}">
  <sheetPr>
    <pageSetUpPr fitToPage="1"/>
  </sheetPr>
  <dimension ref="A1:D39"/>
  <sheetViews>
    <sheetView topLeftCell="A11" workbookViewId="0">
      <selection sqref="A1:IV65536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45261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45264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52.27</v>
      </c>
      <c r="C6" s="18">
        <v>31.36</v>
      </c>
      <c r="D6" s="19">
        <v>83.63</v>
      </c>
    </row>
    <row r="7" spans="1:4" ht="13.5" thickBot="1" x14ac:dyDescent="0.25"/>
    <row r="8" spans="1:4" ht="13.5" thickBot="1" x14ac:dyDescent="0.25">
      <c r="D8" s="15">
        <v>246.82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45271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45278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45285</v>
      </c>
    </row>
    <row r="27" spans="1:4" ht="15.75" thickBot="1" x14ac:dyDescent="0.25">
      <c r="A27" s="12" t="s">
        <v>266</v>
      </c>
      <c r="B27" s="17">
        <v>155.80000000000001</v>
      </c>
      <c r="C27" s="18">
        <v>31.16</v>
      </c>
      <c r="D27" s="19">
        <v>186.96</v>
      </c>
    </row>
    <row r="28" spans="1:4" ht="15" x14ac:dyDescent="0.2">
      <c r="A28" s="12" t="s">
        <v>265</v>
      </c>
      <c r="B28" s="17">
        <v>45.03</v>
      </c>
      <c r="C28" s="18">
        <v>27.02</v>
      </c>
      <c r="D28" s="19">
        <v>72.05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259.01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135.99</v>
      </c>
      <c r="C34" s="18">
        <v>27.2</v>
      </c>
      <c r="D34" s="19">
        <v>163.19</v>
      </c>
    </row>
    <row r="35" spans="1:4" ht="15" x14ac:dyDescent="0.2">
      <c r="A35" s="12" t="s">
        <v>265</v>
      </c>
      <c r="B35" s="17">
        <v>51.58</v>
      </c>
      <c r="C35" s="18">
        <v>30.95</v>
      </c>
      <c r="D35" s="19">
        <v>82.53</v>
      </c>
    </row>
    <row r="36" spans="1:4" ht="13.5" thickBot="1" x14ac:dyDescent="0.25"/>
    <row r="37" spans="1:4" ht="13.5" thickBot="1" x14ac:dyDescent="0.25">
      <c r="D37" s="15">
        <v>245.71999999999997</v>
      </c>
    </row>
    <row r="38" spans="1:4" ht="13.5" thickBot="1" x14ac:dyDescent="0.25"/>
    <row r="39" spans="1:4" ht="13.5" thickBot="1" x14ac:dyDescent="0.25">
      <c r="C39" s="14" t="s">
        <v>269</v>
      </c>
      <c r="D39" s="15">
        <v>1242.9899999999998</v>
      </c>
    </row>
  </sheetData>
  <pageMargins left="0.7" right="0.7" top="0.75" bottom="0.75" header="0.3" footer="0.3"/>
  <pageSetup scale="96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2DCD-7F8D-4EC2-B489-E4BD62AFAE2E}">
  <sheetPr>
    <pageSetUpPr fitToPage="1"/>
  </sheetPr>
  <dimension ref="A1:D39"/>
  <sheetViews>
    <sheetView topLeftCell="A11" workbookViewId="0"/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45292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45292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52.27</v>
      </c>
      <c r="C6" s="18">
        <v>31.36</v>
      </c>
      <c r="D6" s="19">
        <v>83.63</v>
      </c>
    </row>
    <row r="7" spans="1:4" ht="13.5" thickBot="1" x14ac:dyDescent="0.25"/>
    <row r="8" spans="1:4" ht="13.5" thickBot="1" x14ac:dyDescent="0.25">
      <c r="D8" s="15">
        <v>246.82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45299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52.96</v>
      </c>
      <c r="C13" s="18">
        <v>31.77</v>
      </c>
      <c r="D13" s="19">
        <v>84.73</v>
      </c>
    </row>
    <row r="14" spans="1:4" ht="13.5" thickBot="1" x14ac:dyDescent="0.25"/>
    <row r="15" spans="1:4" ht="13.5" thickBot="1" x14ac:dyDescent="0.25">
      <c r="D15" s="15">
        <v>247.92000000000002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45306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45313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52.96</v>
      </c>
      <c r="C28" s="18">
        <v>31.77</v>
      </c>
      <c r="D28" s="19">
        <v>84.73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247.92000000000002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>
        <v>45320</v>
      </c>
    </row>
    <row r="34" spans="1:4" ht="15.75" thickBot="1" x14ac:dyDescent="0.25">
      <c r="A34" s="12" t="s">
        <v>266</v>
      </c>
      <c r="B34" s="17">
        <v>135.99</v>
      </c>
      <c r="C34" s="18">
        <v>27.2</v>
      </c>
      <c r="D34" s="19">
        <v>163.19</v>
      </c>
    </row>
    <row r="35" spans="1:4" ht="15" x14ac:dyDescent="0.2">
      <c r="A35" s="12" t="s">
        <v>265</v>
      </c>
      <c r="B35" s="17">
        <v>51.58</v>
      </c>
      <c r="C35" s="18">
        <v>30.95</v>
      </c>
      <c r="D35" s="19">
        <v>82.53</v>
      </c>
    </row>
    <row r="36" spans="1:4" ht="13.5" thickBot="1" x14ac:dyDescent="0.25"/>
    <row r="37" spans="1:4" ht="13.5" thickBot="1" x14ac:dyDescent="0.25">
      <c r="D37" s="15">
        <v>245.71999999999997</v>
      </c>
    </row>
    <row r="38" spans="1:4" ht="13.5" thickBot="1" x14ac:dyDescent="0.25"/>
    <row r="39" spans="1:4" ht="13.5" thickBot="1" x14ac:dyDescent="0.25">
      <c r="C39" s="14" t="s">
        <v>269</v>
      </c>
      <c r="D39" s="15">
        <v>1234.0999999999999</v>
      </c>
    </row>
  </sheetData>
  <pageMargins left="0.7" right="0.7" top="0.75" bottom="0.75" header="0.3" footer="0.3"/>
  <pageSetup scale="96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D308-FDBE-401D-BE3A-49EEEA9BFF32}">
  <sheetPr>
    <pageSetUpPr fitToPage="1"/>
  </sheetPr>
  <dimension ref="A1:D39"/>
  <sheetViews>
    <sheetView workbookViewId="0">
      <selection activeCell="A11" sqref="A11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45323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45327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52.27</v>
      </c>
      <c r="C6" s="18">
        <v>31.36</v>
      </c>
      <c r="D6" s="19">
        <v>83.63</v>
      </c>
    </row>
    <row r="7" spans="1:4" ht="13.5" thickBot="1" x14ac:dyDescent="0.25"/>
    <row r="8" spans="1:4" ht="13.5" thickBot="1" x14ac:dyDescent="0.25">
      <c r="D8" s="15">
        <v>246.82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45334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45341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45348</v>
      </c>
    </row>
    <row r="27" spans="1:4" ht="15.75" thickBot="1" x14ac:dyDescent="0.25">
      <c r="A27" s="12" t="s">
        <v>266</v>
      </c>
      <c r="B27" s="17">
        <v>125.79</v>
      </c>
      <c r="C27" s="18">
        <v>25.16</v>
      </c>
      <c r="D27" s="19">
        <v>150.95000000000002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233.48000000000002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971.74</v>
      </c>
    </row>
  </sheetData>
  <pageMargins left="0.7" right="0.7" top="0.75" bottom="0.75" header="0.3" footer="0.3"/>
  <pageSetup scale="96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79A4-D9C8-4C1E-80AB-8920337461D6}">
  <sheetPr>
    <pageSetUpPr fitToPage="1"/>
  </sheetPr>
  <dimension ref="A1:D39"/>
  <sheetViews>
    <sheetView workbookViewId="0"/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>
      <c r="A1" s="8" t="s">
        <v>0</v>
      </c>
    </row>
    <row r="2" spans="1:4" ht="13.5" thickBot="1" x14ac:dyDescent="0.25">
      <c r="A2" s="11" t="s">
        <v>270</v>
      </c>
      <c r="B2" s="35">
        <v>45352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45355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245.71999999999997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45362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45369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55.02</v>
      </c>
      <c r="C21" s="18">
        <v>33.01</v>
      </c>
      <c r="D21" s="19">
        <v>88.03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251.22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45376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245.71999999999997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988.37999999999988</v>
      </c>
    </row>
  </sheetData>
  <pageMargins left="0.7" right="0.7" top="0.75" bottom="0.75" header="0.3" footer="0.3"/>
  <pageSetup scale="96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0E0B-E5CE-452D-868F-90A160951F03}">
  <sheetPr>
    <pageSetUpPr fitToPage="1"/>
  </sheetPr>
  <dimension ref="A1:D43"/>
  <sheetViews>
    <sheetView topLeftCell="A14" workbookViewId="0">
      <selection activeCell="B43" sqref="B43:D4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v>45383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45383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245.71999999999997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45390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45397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45404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245.71999999999997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>
        <v>45411</v>
      </c>
    </row>
    <row r="34" spans="1:4" ht="15.75" thickBot="1" x14ac:dyDescent="0.25">
      <c r="A34" s="12" t="s">
        <v>266</v>
      </c>
      <c r="B34" s="17">
        <v>135.99</v>
      </c>
      <c r="C34" s="18">
        <v>27.2</v>
      </c>
      <c r="D34" s="19">
        <v>163.19</v>
      </c>
    </row>
    <row r="35" spans="1:4" ht="15" x14ac:dyDescent="0.2">
      <c r="A35" s="12" t="s">
        <v>265</v>
      </c>
      <c r="B35" s="17">
        <v>51.58</v>
      </c>
      <c r="C35" s="18">
        <v>30.95</v>
      </c>
      <c r="D35" s="19">
        <v>82.53</v>
      </c>
    </row>
    <row r="36" spans="1:4" ht="13.5" thickBot="1" x14ac:dyDescent="0.25"/>
    <row r="37" spans="1:4" ht="13.5" thickBot="1" x14ac:dyDescent="0.25">
      <c r="D37" s="15">
        <v>245.71999999999997</v>
      </c>
    </row>
    <row r="38" spans="1:4" ht="13.5" thickBot="1" x14ac:dyDescent="0.25"/>
    <row r="39" spans="1:4" ht="13.5" thickBot="1" x14ac:dyDescent="0.25">
      <c r="C39" s="14" t="s">
        <v>269</v>
      </c>
      <c r="D39" s="15">
        <v>1228.5999999999999</v>
      </c>
    </row>
    <row r="43" spans="1:4" ht="46.5" customHeight="1" x14ac:dyDescent="0.2">
      <c r="B43" s="71" t="e">
        <v>#VALUE!</v>
      </c>
      <c r="C43" s="72"/>
      <c r="D43" s="72"/>
    </row>
  </sheetData>
  <mergeCells count="1">
    <mergeCell ref="B43:D43"/>
  </mergeCells>
  <pageMargins left="0.7" right="0.7" top="0.75" bottom="0.75" header="0.3" footer="0.3"/>
  <pageSetup scale="96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9BB5-90A2-4B28-A63E-AED5017C99E9}">
  <sheetPr>
    <pageSetUpPr fitToPage="1"/>
  </sheetPr>
  <dimension ref="A1:D43"/>
  <sheetViews>
    <sheetView topLeftCell="A14" workbookViewId="0">
      <selection activeCell="J38" sqref="J38:K38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v>45413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45418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245.71999999999997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45425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45432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45439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51.58</v>
      </c>
      <c r="C28" s="18">
        <v>30.95</v>
      </c>
      <c r="D28" s="19">
        <v>82.53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245.71999999999997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982.87999999999988</v>
      </c>
    </row>
    <row r="43" spans="1:4" ht="46.5" customHeight="1" x14ac:dyDescent="0.2">
      <c r="B43" s="71" t="e">
        <v>#VALUE!</v>
      </c>
      <c r="C43" s="71"/>
      <c r="D43" s="71"/>
    </row>
  </sheetData>
  <mergeCells count="1">
    <mergeCell ref="B43:D43"/>
  </mergeCells>
  <pageMargins left="0.7" right="0.7" top="0.75" bottom="0.75" header="0.3" footer="0.3"/>
  <pageSetup scale="96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FFD5-53D6-43B5-96E7-C82923E462B3}">
  <sheetPr>
    <pageSetUpPr fitToPage="1"/>
  </sheetPr>
  <dimension ref="A1:D43"/>
  <sheetViews>
    <sheetView topLeftCell="A22" workbookViewId="0">
      <selection activeCell="B43" sqref="B43:D43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v>45444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45446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245.71999999999997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45453</v>
      </c>
    </row>
    <row r="12" spans="1:4" ht="15.75" thickBot="1" x14ac:dyDescent="0.25">
      <c r="A12" s="12" t="s">
        <v>266</v>
      </c>
      <c r="B12" s="17">
        <v>108.79</v>
      </c>
      <c r="C12" s="18">
        <v>21.76</v>
      </c>
      <c r="D12" s="19">
        <v>130.55000000000001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213.07999999999998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45460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51.58</v>
      </c>
      <c r="C21" s="18">
        <v>30.95</v>
      </c>
      <c r="D21" s="19">
        <v>82.53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245.71999999999997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45467</v>
      </c>
    </row>
    <row r="27" spans="1:4" ht="15.75" thickBot="1" x14ac:dyDescent="0.25">
      <c r="A27" s="12" t="s">
        <v>266</v>
      </c>
      <c r="B27" s="17">
        <v>127.49</v>
      </c>
      <c r="C27" s="18">
        <v>25.5</v>
      </c>
      <c r="D27" s="19">
        <v>152.99</v>
      </c>
    </row>
    <row r="28" spans="1:4" ht="15" x14ac:dyDescent="0.2">
      <c r="A28" s="12" t="s">
        <v>265</v>
      </c>
      <c r="B28" s="17">
        <v>55.02</v>
      </c>
      <c r="C28" s="18">
        <v>33.01</v>
      </c>
      <c r="D28" s="19">
        <v>88.03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241.02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945.54</v>
      </c>
    </row>
    <row r="43" spans="1:4" ht="46.5" customHeight="1" x14ac:dyDescent="0.2">
      <c r="B43" s="71" t="e">
        <v>#VALUE!</v>
      </c>
      <c r="C43" s="71"/>
      <c r="D43" s="71"/>
    </row>
  </sheetData>
  <mergeCells count="1">
    <mergeCell ref="B43:D43"/>
  </mergeCells>
  <pageMargins left="0.7" right="0.7" top="0.75" bottom="0.75" header="0.3" footer="0.3"/>
  <pageSetup scale="96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7F1A-F116-49B0-A3EC-C24C129B09D9}">
  <sheetPr>
    <pageSetUpPr fitToPage="1"/>
  </sheetPr>
  <dimension ref="A1:D43"/>
  <sheetViews>
    <sheetView topLeftCell="A19" workbookViewId="0">
      <selection activeCell="A2" sqref="A2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v>45474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45474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51.58</v>
      </c>
      <c r="C6" s="18">
        <v>30.95</v>
      </c>
      <c r="D6" s="19">
        <v>82.53</v>
      </c>
    </row>
    <row r="7" spans="1:4" ht="13.5" thickBot="1" x14ac:dyDescent="0.25"/>
    <row r="8" spans="1:4" ht="13.5" thickBot="1" x14ac:dyDescent="0.25">
      <c r="D8" s="15">
        <v>245.71999999999997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45481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51.58</v>
      </c>
      <c r="C13" s="18">
        <v>30.95</v>
      </c>
      <c r="D13" s="19">
        <v>82.53</v>
      </c>
    </row>
    <row r="14" spans="1:4" ht="13.5" thickBot="1" x14ac:dyDescent="0.25"/>
    <row r="15" spans="1:4" ht="13.5" thickBot="1" x14ac:dyDescent="0.25">
      <c r="D15" s="15">
        <v>245.71999999999997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45488</v>
      </c>
    </row>
    <row r="20" spans="1:4" ht="15.75" thickBot="1" x14ac:dyDescent="0.25">
      <c r="A20" s="12" t="s">
        <v>266</v>
      </c>
      <c r="B20" s="17">
        <v>108.79</v>
      </c>
      <c r="C20" s="18">
        <v>21.76</v>
      </c>
      <c r="D20" s="19">
        <v>130.55000000000001</v>
      </c>
    </row>
    <row r="21" spans="1:4" ht="15" x14ac:dyDescent="0.2">
      <c r="A21" s="12" t="s">
        <v>265</v>
      </c>
      <c r="B21" s="17">
        <v>55.02</v>
      </c>
      <c r="C21" s="18">
        <v>33.01</v>
      </c>
      <c r="D21" s="19">
        <v>88.03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218.58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45495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55.02</v>
      </c>
      <c r="C28" s="18">
        <v>33.01</v>
      </c>
      <c r="D28" s="19">
        <v>88.03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251.22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>
        <v>45502</v>
      </c>
    </row>
    <row r="34" spans="1:4" ht="15.75" thickBot="1" x14ac:dyDescent="0.25">
      <c r="A34" s="12" t="s">
        <v>266</v>
      </c>
      <c r="B34" s="17">
        <v>135.99</v>
      </c>
      <c r="C34" s="18">
        <v>27.2</v>
      </c>
      <c r="D34" s="19">
        <v>163.19</v>
      </c>
    </row>
    <row r="35" spans="1:4" ht="15" x14ac:dyDescent="0.2">
      <c r="A35" s="12" t="s">
        <v>265</v>
      </c>
      <c r="B35" s="17">
        <v>55.02</v>
      </c>
      <c r="C35" s="18">
        <v>33.01</v>
      </c>
      <c r="D35" s="19">
        <v>88.03</v>
      </c>
    </row>
    <row r="36" spans="1:4" ht="13.5" thickBot="1" x14ac:dyDescent="0.25"/>
    <row r="37" spans="1:4" ht="13.5" thickBot="1" x14ac:dyDescent="0.25">
      <c r="D37" s="15">
        <v>251.22</v>
      </c>
    </row>
    <row r="38" spans="1:4" ht="13.5" thickBot="1" x14ac:dyDescent="0.25"/>
    <row r="39" spans="1:4" ht="13.5" thickBot="1" x14ac:dyDescent="0.25">
      <c r="C39" s="14" t="s">
        <v>269</v>
      </c>
      <c r="D39" s="15">
        <v>1212.46</v>
      </c>
    </row>
    <row r="43" spans="1:4" ht="46.5" customHeight="1" x14ac:dyDescent="0.2">
      <c r="B43" s="71" t="e">
        <v>#VALUE!</v>
      </c>
      <c r="C43" s="71"/>
      <c r="D43" s="71"/>
    </row>
  </sheetData>
  <mergeCells count="1">
    <mergeCell ref="B43:D43"/>
  </mergeCells>
  <pageMargins left="0.7" right="0.7" top="0.75" bottom="0.75" header="0.3" footer="0.3"/>
  <pageSetup scale="96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E509-D50E-4F3C-AA61-A86C4A5B71C6}">
  <sheetPr>
    <pageSetUpPr fitToPage="1"/>
  </sheetPr>
  <dimension ref="A1:D43"/>
  <sheetViews>
    <sheetView topLeftCell="A17" workbookViewId="0"/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f>'Number Input'!B2</f>
        <v>46023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f>B2+IF(2 &lt; WEEKDAY(B2), 7 - WEEKDAY(B2) + 2, 2 - WEEKDAY(B2))</f>
        <v>46027</v>
      </c>
    </row>
    <row r="5" spans="1:4" ht="15.75" thickBot="1" x14ac:dyDescent="0.25">
      <c r="A5" s="12" t="s">
        <v>266</v>
      </c>
      <c r="B5" s="17" t="e">
        <f>'Number Input'!#REF!</f>
        <v>#REF!</v>
      </c>
      <c r="C5" s="18" t="e">
        <f>IF(ROUND(('Number Input'!#REF!*0.03),2)&gt;B5,B5,(ROUND(('Number Input'!#REF!*0.03),2)))</f>
        <v>#REF!</v>
      </c>
      <c r="D5" s="19" t="e">
        <f>SUM(B5:C5)</f>
        <v>#REF!</v>
      </c>
    </row>
    <row r="6" spans="1:4" ht="15" x14ac:dyDescent="0.2">
      <c r="A6" s="12" t="s">
        <v>265</v>
      </c>
      <c r="B6" s="17" t="e">
        <f>'Number Input'!#REF!</f>
        <v>#REF!</v>
      </c>
      <c r="C6" s="18" t="e">
        <f>IF(ROUND(('Number Input'!#REF!*0.03),2)&gt;B6,B6,(ROUND(('Number Input'!#REF!*0.03),2)))</f>
        <v>#REF!</v>
      </c>
      <c r="D6" s="19" t="e">
        <f>SUM(B6:C6)</f>
        <v>#REF!</v>
      </c>
    </row>
    <row r="7" spans="1:4" ht="13.5" thickBot="1" x14ac:dyDescent="0.25"/>
    <row r="8" spans="1:4" ht="13.5" thickBot="1" x14ac:dyDescent="0.25">
      <c r="D8" s="15" t="e">
        <f>SUM(B5:C6)</f>
        <v>#REF!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f>A4+7</f>
        <v>46034</v>
      </c>
    </row>
    <row r="12" spans="1:4" ht="15.75" thickBot="1" x14ac:dyDescent="0.25">
      <c r="A12" s="12" t="s">
        <v>266</v>
      </c>
      <c r="B12" s="17">
        <f>'Number Input'!B20</f>
        <v>140.49</v>
      </c>
      <c r="C12" s="18">
        <f>IF(ROUND(('Number Input'!C20*0.03),2)&gt;B12,B12,(ROUND(('Number Input'!C20*0.03),2)))</f>
        <v>28.1</v>
      </c>
      <c r="D12" s="19">
        <f>SUM(B12:C12)</f>
        <v>168.59</v>
      </c>
    </row>
    <row r="13" spans="1:4" ht="15" x14ac:dyDescent="0.2">
      <c r="A13" s="12" t="s">
        <v>265</v>
      </c>
      <c r="B13" s="17">
        <f>'Number Input'!B21</f>
        <v>53.69</v>
      </c>
      <c r="C13" s="18">
        <f>IF(ROUND(('Number Input'!C21*0.03),2)&gt;B13,B13,(ROUND(('Number Input'!C21*0.03),2)))</f>
        <v>32.22</v>
      </c>
      <c r="D13" s="19">
        <f>SUM(B13:C13)</f>
        <v>85.91</v>
      </c>
    </row>
    <row r="14" spans="1:4" ht="13.5" thickBot="1" x14ac:dyDescent="0.25"/>
    <row r="15" spans="1:4" ht="13.5" thickBot="1" x14ac:dyDescent="0.25">
      <c r="D15" s="15">
        <f>SUM(B12:C13)</f>
        <v>254.5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f>A11+7</f>
        <v>46041</v>
      </c>
    </row>
    <row r="20" spans="1:4" ht="15.75" thickBot="1" x14ac:dyDescent="0.25">
      <c r="A20" s="12" t="s">
        <v>266</v>
      </c>
      <c r="B20" s="17">
        <f>'Number Input'!B28</f>
        <v>140.49</v>
      </c>
      <c r="C20" s="18">
        <f>IF(ROUND(('Number Input'!C28*0.03),2)&gt;B20,B20,(ROUND(('Number Input'!C28*0.03),2)))</f>
        <v>28.1</v>
      </c>
      <c r="D20" s="19">
        <f>SUM(B20:C20)</f>
        <v>168.59</v>
      </c>
    </row>
    <row r="21" spans="1:4" ht="15" x14ac:dyDescent="0.2">
      <c r="A21" s="12" t="s">
        <v>265</v>
      </c>
      <c r="B21" s="17">
        <f>'Number Input'!B29</f>
        <v>56.52</v>
      </c>
      <c r="C21" s="18">
        <f>IF(ROUND(('Number Input'!C29*0.03),2)&gt;B21,B21,(ROUND(('Number Input'!C29*0.03),2)))</f>
        <v>33.909999999999997</v>
      </c>
      <c r="D21" s="19">
        <f>SUM(B21:C21)</f>
        <v>90.43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f>SUM(B19:C21)</f>
        <v>259.02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f>A19+7</f>
        <v>46048</v>
      </c>
    </row>
    <row r="27" spans="1:4" ht="15.75" thickBot="1" x14ac:dyDescent="0.25">
      <c r="A27" s="12" t="s">
        <v>266</v>
      </c>
      <c r="B27" s="17">
        <f>'Number Input'!B35</f>
        <v>0</v>
      </c>
      <c r="C27" s="18">
        <f>IF(ROUND(('Number Input'!C35*0.03),2)&gt;B27,B27,(ROUND(('Number Input'!C35*0.03),2)))</f>
        <v>0</v>
      </c>
      <c r="D27" s="19">
        <f>SUM(B27:C27)</f>
        <v>0</v>
      </c>
    </row>
    <row r="28" spans="1:4" ht="15" x14ac:dyDescent="0.2">
      <c r="A28" s="12" t="s">
        <v>265</v>
      </c>
      <c r="B28" s="17">
        <f>'Number Input'!B36</f>
        <v>140.49</v>
      </c>
      <c r="C28" s="18">
        <f>IF(ROUND(('Number Input'!C36*0.03),2)&gt;B28,B28,(ROUND(('Number Input'!C36*0.03),2)))</f>
        <v>28.1</v>
      </c>
      <c r="D28" s="19">
        <f>SUM(B28:C28)</f>
        <v>168.59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f>SUM(B26:C28)</f>
        <v>168.59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tr">
        <f>IF(MONTH(B2)=MONTH(A26+7),A26+7,"No Week 5 Paycheck")</f>
        <v>No Week 5 Paycheck</v>
      </c>
    </row>
    <row r="34" spans="1:4" ht="15.75" thickBot="1" x14ac:dyDescent="0.25">
      <c r="A34" s="12" t="s">
        <v>266</v>
      </c>
      <c r="B34" s="17" t="e">
        <f>'Number Input'!#REF!</f>
        <v>#REF!</v>
      </c>
      <c r="C34" s="18" t="e">
        <f>IF(ROUND(('Number Input'!#REF!*0.03),2)&gt;B34,B34,(ROUND(('Number Input'!#REF!*0.03),2)))</f>
        <v>#REF!</v>
      </c>
      <c r="D34" s="19" t="e">
        <f>SUM(B34:C34)</f>
        <v>#REF!</v>
      </c>
    </row>
    <row r="35" spans="1:4" ht="15" x14ac:dyDescent="0.2">
      <c r="A35" s="12" t="s">
        <v>265</v>
      </c>
      <c r="B35" s="17" t="e">
        <f>'Number Input'!#REF!</f>
        <v>#REF!</v>
      </c>
      <c r="C35" s="18" t="e">
        <f>IF(ROUND(('Number Input'!#REF!*0.03),2)&gt;B35,B35,(ROUND(('Number Input'!#REF!*0.03),2)))</f>
        <v>#REF!</v>
      </c>
      <c r="D35" s="19" t="e">
        <f>SUM(B35:C35)</f>
        <v>#REF!</v>
      </c>
    </row>
    <row r="36" spans="1:4" ht="13.5" thickBot="1" x14ac:dyDescent="0.25"/>
    <row r="37" spans="1:4" ht="13.5" thickBot="1" x14ac:dyDescent="0.25">
      <c r="D37" s="15" t="e">
        <f>SUM(B33:C35)</f>
        <v>#REF!</v>
      </c>
    </row>
    <row r="38" spans="1:4" ht="13.5" thickBot="1" x14ac:dyDescent="0.25"/>
    <row r="39" spans="1:4" ht="13.5" thickBot="1" x14ac:dyDescent="0.25">
      <c r="C39" s="14" t="s">
        <v>269</v>
      </c>
      <c r="D39" s="15" t="e">
        <f>D37+D30+D23+D15+D8</f>
        <v>#REF!</v>
      </c>
    </row>
    <row r="42" spans="1:4" x14ac:dyDescent="0.2">
      <c r="C42"/>
    </row>
    <row r="43" spans="1:4" ht="46.5" customHeight="1" x14ac:dyDescent="0.2">
      <c r="B43" s="71"/>
      <c r="C43" s="71"/>
      <c r="D43" s="71"/>
    </row>
  </sheetData>
  <mergeCells count="1">
    <mergeCell ref="B43:D43"/>
  </mergeCells>
  <pageMargins left="0.7" right="0.7" top="0.75" bottom="0.75" header="0.3" footer="0.3"/>
  <pageSetup scale="96" orientation="portrait" r:id="rId1"/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76AD-88B9-48F1-BB11-7B76A821C1D1}">
  <sheetPr>
    <pageSetUpPr fitToPage="1"/>
  </sheetPr>
  <dimension ref="A1:D43"/>
  <sheetViews>
    <sheetView workbookViewId="0">
      <selection activeCell="D47" sqref="D47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v>45536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45537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55.02</v>
      </c>
      <c r="C6" s="18">
        <v>33.01</v>
      </c>
      <c r="D6" s="19">
        <v>88.03</v>
      </c>
    </row>
    <row r="7" spans="1:4" ht="13.5" thickBot="1" x14ac:dyDescent="0.25"/>
    <row r="8" spans="1:4" ht="13.5" thickBot="1" x14ac:dyDescent="0.25">
      <c r="D8" s="15">
        <v>251.22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45544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55.02</v>
      </c>
      <c r="C13" s="18">
        <v>33.01</v>
      </c>
      <c r="D13" s="19">
        <v>88.03</v>
      </c>
    </row>
    <row r="14" spans="1:4" ht="13.5" thickBot="1" x14ac:dyDescent="0.25"/>
    <row r="15" spans="1:4" ht="13.5" thickBot="1" x14ac:dyDescent="0.25">
      <c r="D15" s="15">
        <v>251.22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45551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55.02</v>
      </c>
      <c r="C21" s="18">
        <v>33.01</v>
      </c>
      <c r="D21" s="19">
        <v>88.03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251.22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45558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55.02</v>
      </c>
      <c r="C28" s="18">
        <v>33.01</v>
      </c>
      <c r="D28" s="19">
        <v>88.03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251.22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>
        <v>45565</v>
      </c>
    </row>
    <row r="34" spans="1:4" ht="15.75" thickBot="1" x14ac:dyDescent="0.25">
      <c r="A34" s="12" t="s">
        <v>266</v>
      </c>
      <c r="B34" s="17">
        <v>129.19</v>
      </c>
      <c r="C34" s="18">
        <v>25.84</v>
      </c>
      <c r="D34" s="19">
        <v>155.03</v>
      </c>
    </row>
    <row r="35" spans="1:4" ht="15" x14ac:dyDescent="0.2">
      <c r="A35" s="12" t="s">
        <v>265</v>
      </c>
      <c r="B35" s="17">
        <v>55.02</v>
      </c>
      <c r="C35" s="18">
        <v>33.01</v>
      </c>
      <c r="D35" s="19">
        <v>88.03</v>
      </c>
    </row>
    <row r="36" spans="1:4" ht="13.5" thickBot="1" x14ac:dyDescent="0.25"/>
    <row r="37" spans="1:4" ht="13.5" thickBot="1" x14ac:dyDescent="0.25">
      <c r="D37" s="15">
        <v>243.06</v>
      </c>
    </row>
    <row r="38" spans="1:4" ht="13.5" thickBot="1" x14ac:dyDescent="0.25"/>
    <row r="39" spans="1:4" ht="13.5" thickBot="1" x14ac:dyDescent="0.25">
      <c r="C39" s="14" t="s">
        <v>269</v>
      </c>
      <c r="D39" s="15">
        <v>1247.94</v>
      </c>
    </row>
    <row r="43" spans="1:4" ht="46.5" customHeight="1" x14ac:dyDescent="0.2">
      <c r="B43" s="71"/>
      <c r="C43" s="71"/>
      <c r="D43" s="71"/>
    </row>
  </sheetData>
  <mergeCells count="1">
    <mergeCell ref="B43:D43"/>
  </mergeCells>
  <pageMargins left="0.7" right="0.7" top="0.75" bottom="0.75" header="0.3" footer="0.3"/>
  <pageSetup scale="96" orientation="portrait" r:id="rId1"/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3C60-FBF2-4C9B-9E18-D550B241A379}">
  <sheetPr>
    <pageSetUpPr fitToPage="1"/>
  </sheetPr>
  <dimension ref="A1:D43"/>
  <sheetViews>
    <sheetView topLeftCell="A25" workbookViewId="0">
      <selection activeCell="B43" sqref="B43:D43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v>45566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45572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55.02</v>
      </c>
      <c r="C6" s="18">
        <v>33.01</v>
      </c>
      <c r="D6" s="19">
        <v>88.03</v>
      </c>
    </row>
    <row r="7" spans="1:4" ht="13.5" thickBot="1" x14ac:dyDescent="0.25"/>
    <row r="8" spans="1:4" ht="13.5" thickBot="1" x14ac:dyDescent="0.25">
      <c r="D8" s="15">
        <v>251.22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45579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55.02</v>
      </c>
      <c r="C13" s="18">
        <v>33.01</v>
      </c>
      <c r="D13" s="19">
        <v>88.03</v>
      </c>
    </row>
    <row r="14" spans="1:4" ht="13.5" thickBot="1" x14ac:dyDescent="0.25"/>
    <row r="15" spans="1:4" ht="13.5" thickBot="1" x14ac:dyDescent="0.25">
      <c r="D15" s="15">
        <v>251.22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45586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55.02</v>
      </c>
      <c r="C21" s="18">
        <v>33.01</v>
      </c>
      <c r="D21" s="19">
        <v>88.03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251.22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45593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55.02</v>
      </c>
      <c r="C28" s="18">
        <v>33.01</v>
      </c>
      <c r="D28" s="19">
        <v>88.03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251.22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1004.88</v>
      </c>
    </row>
    <row r="43" spans="1:4" ht="46.5" customHeight="1" x14ac:dyDescent="0.2">
      <c r="B43" s="71"/>
      <c r="C43" s="71"/>
      <c r="D43" s="71"/>
    </row>
  </sheetData>
  <mergeCells count="1">
    <mergeCell ref="B43:D43"/>
  </mergeCells>
  <pageMargins left="0.7" right="0.7" top="0.75" bottom="0.75" header="0.3" footer="0.3"/>
  <pageSetup scale="96" orientation="portrait" r:id="rId1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3946-1EA7-482D-9989-84EA79D64D0F}">
  <sheetPr>
    <pageSetUpPr fitToPage="1"/>
  </sheetPr>
  <dimension ref="A1:D43"/>
  <sheetViews>
    <sheetView topLeftCell="A17" workbookViewId="0">
      <selection activeCell="B43" sqref="B43:D43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v>45597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45600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55.02</v>
      </c>
      <c r="C6" s="18">
        <v>33.01</v>
      </c>
      <c r="D6" s="19">
        <v>88.03</v>
      </c>
    </row>
    <row r="7" spans="1:4" ht="13.5" thickBot="1" x14ac:dyDescent="0.25"/>
    <row r="8" spans="1:4" ht="13.5" thickBot="1" x14ac:dyDescent="0.25">
      <c r="D8" s="15">
        <v>251.22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45607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55.02</v>
      </c>
      <c r="C13" s="18">
        <v>33.01</v>
      </c>
      <c r="D13" s="19">
        <v>88.03</v>
      </c>
    </row>
    <row r="14" spans="1:4" ht="13.5" thickBot="1" x14ac:dyDescent="0.25"/>
    <row r="15" spans="1:4" ht="13.5" thickBot="1" x14ac:dyDescent="0.25">
      <c r="D15" s="15">
        <v>251.22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45614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55.02</v>
      </c>
      <c r="C21" s="18">
        <v>33.01</v>
      </c>
      <c r="D21" s="19">
        <v>88.03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251.22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45621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55.02</v>
      </c>
      <c r="C28" s="18">
        <v>33.01</v>
      </c>
      <c r="D28" s="19">
        <v>88.03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251.22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1004.88</v>
      </c>
    </row>
    <row r="43" spans="1:4" ht="46.5" customHeight="1" x14ac:dyDescent="0.2">
      <c r="B43" s="71"/>
      <c r="C43" s="71"/>
      <c r="D43" s="71"/>
    </row>
  </sheetData>
  <mergeCells count="1">
    <mergeCell ref="B43:D43"/>
  </mergeCells>
  <pageMargins left="0.7" right="0.7" top="0.75" bottom="0.75" header="0.3" footer="0.3"/>
  <pageSetup scale="96" orientation="portrait" r:id="rId1"/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A752-D60D-43B4-8A26-FBA49D8CD153}">
  <sheetPr>
    <pageSetUpPr fitToPage="1"/>
  </sheetPr>
  <dimension ref="A1:D43"/>
  <sheetViews>
    <sheetView topLeftCell="A17" workbookViewId="0">
      <selection activeCell="K48" sqref="K48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f>'Number Input'!B2</f>
        <v>46023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f>B2+IF(2 &lt; WEEKDAY(B2), 7 - WEEKDAY(B2) + 2, 2 - WEEKDAY(B2))</f>
        <v>46027</v>
      </c>
    </row>
    <row r="5" spans="1:4" ht="15.75" thickBot="1" x14ac:dyDescent="0.25">
      <c r="A5" s="12" t="s">
        <v>266</v>
      </c>
      <c r="B5" s="17" t="e">
        <f>'Number Input'!#REF!</f>
        <v>#REF!</v>
      </c>
      <c r="C5" s="18" t="e">
        <f>IF(ROUND(('Number Input'!#REF!*0.03),2)&gt;B5,B5,(ROUND(('Number Input'!#REF!*0.03),2)))</f>
        <v>#REF!</v>
      </c>
      <c r="D5" s="19" t="e">
        <f>SUM(B5:C5)</f>
        <v>#REF!</v>
      </c>
    </row>
    <row r="6" spans="1:4" ht="15" x14ac:dyDescent="0.2">
      <c r="A6" s="12" t="s">
        <v>265</v>
      </c>
      <c r="B6" s="17" t="e">
        <f>'Number Input'!#REF!</f>
        <v>#REF!</v>
      </c>
      <c r="C6" s="18" t="e">
        <f>IF(ROUND(('Number Input'!#REF!*0.03),2)&gt;B6,B6,(ROUND(('Number Input'!#REF!*0.03),2)))</f>
        <v>#REF!</v>
      </c>
      <c r="D6" s="19" t="e">
        <f>SUM(B6:C6)</f>
        <v>#REF!</v>
      </c>
    </row>
    <row r="7" spans="1:4" ht="13.5" thickBot="1" x14ac:dyDescent="0.25"/>
    <row r="8" spans="1:4" ht="13.5" thickBot="1" x14ac:dyDescent="0.25">
      <c r="D8" s="15" t="e">
        <f>SUM(B5:C6)</f>
        <v>#REF!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f>A4+7</f>
        <v>46034</v>
      </c>
    </row>
    <row r="12" spans="1:4" ht="15.75" thickBot="1" x14ac:dyDescent="0.25">
      <c r="A12" s="12" t="s">
        <v>266</v>
      </c>
      <c r="B12" s="17">
        <f>'Number Input'!B20</f>
        <v>140.49</v>
      </c>
      <c r="C12" s="18">
        <f>IF(ROUND(('Number Input'!C20*0.03),2)&gt;B12,B12,(ROUND(('Number Input'!C20*0.03),2)))</f>
        <v>28.1</v>
      </c>
      <c r="D12" s="19">
        <f>SUM(B12:C12)</f>
        <v>168.59</v>
      </c>
    </row>
    <row r="13" spans="1:4" ht="15" x14ac:dyDescent="0.2">
      <c r="A13" s="12" t="s">
        <v>265</v>
      </c>
      <c r="B13" s="17">
        <f>'Number Input'!B21</f>
        <v>53.69</v>
      </c>
      <c r="C13" s="18">
        <f>IF(ROUND(('Number Input'!C21*0.03),2)&gt;B13,B13,(ROUND(('Number Input'!C21*0.03),2)))</f>
        <v>32.22</v>
      </c>
      <c r="D13" s="19">
        <f>SUM(B13:C13)</f>
        <v>85.91</v>
      </c>
    </row>
    <row r="14" spans="1:4" ht="13.5" thickBot="1" x14ac:dyDescent="0.25"/>
    <row r="15" spans="1:4" ht="13.5" thickBot="1" x14ac:dyDescent="0.25">
      <c r="D15" s="15">
        <f>SUM(B12:C13)</f>
        <v>254.5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f>A11+7</f>
        <v>46041</v>
      </c>
    </row>
    <row r="20" spans="1:4" ht="15.75" thickBot="1" x14ac:dyDescent="0.25">
      <c r="A20" s="12" t="s">
        <v>266</v>
      </c>
      <c r="B20" s="17">
        <f>'Number Input'!B28</f>
        <v>140.49</v>
      </c>
      <c r="C20" s="18">
        <f>IF(ROUND(('Number Input'!C28*0.03),2)&gt;B20,B20,(ROUND(('Number Input'!C28*0.03),2)))</f>
        <v>28.1</v>
      </c>
      <c r="D20" s="19">
        <f>SUM(B20:C20)</f>
        <v>168.59</v>
      </c>
    </row>
    <row r="21" spans="1:4" ht="15" x14ac:dyDescent="0.2">
      <c r="A21" s="12" t="s">
        <v>265</v>
      </c>
      <c r="B21" s="17">
        <f>'Number Input'!B29</f>
        <v>56.52</v>
      </c>
      <c r="C21" s="18">
        <f>IF(ROUND(('Number Input'!C29*0.03),2)&gt;B21,B21,(ROUND(('Number Input'!C29*0.03),2)))</f>
        <v>33.909999999999997</v>
      </c>
      <c r="D21" s="19">
        <f>SUM(B21:C21)</f>
        <v>90.43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f>SUM(B19:C21)</f>
        <v>259.02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f>A19+7</f>
        <v>46048</v>
      </c>
    </row>
    <row r="27" spans="1:4" ht="15.75" thickBot="1" x14ac:dyDescent="0.25">
      <c r="A27" s="12" t="s">
        <v>266</v>
      </c>
      <c r="B27" s="17">
        <f>'Number Input'!B35</f>
        <v>0</v>
      </c>
      <c r="C27" s="18">
        <f>IF(ROUND(('Number Input'!C35*0.03),2)&gt;B27,B27,(ROUND(('Number Input'!C35*0.03),2)))</f>
        <v>0</v>
      </c>
      <c r="D27" s="19">
        <f>SUM(B27:C27)</f>
        <v>0</v>
      </c>
    </row>
    <row r="28" spans="1:4" ht="15" x14ac:dyDescent="0.2">
      <c r="A28" s="12" t="s">
        <v>265</v>
      </c>
      <c r="B28" s="17">
        <f>'Number Input'!B36</f>
        <v>140.49</v>
      </c>
      <c r="C28" s="18">
        <f>IF(ROUND(('Number Input'!C36*0.03),2)&gt;B28,B28,(ROUND(('Number Input'!C36*0.03),2)))</f>
        <v>28.1</v>
      </c>
      <c r="D28" s="19">
        <f>SUM(B28:C28)</f>
        <v>168.59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f>SUM(B26:C28)</f>
        <v>168.59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tr">
        <f>IF(MONTH(B2)=MONTH(A26+7),A26+7,"No Week 5 Paycheck")</f>
        <v>No Week 5 Paycheck</v>
      </c>
    </row>
    <row r="34" spans="1:4" ht="15.75" thickBot="1" x14ac:dyDescent="0.25">
      <c r="A34" s="12" t="s">
        <v>266</v>
      </c>
      <c r="B34" s="17" t="e">
        <f>'Number Input'!#REF!</f>
        <v>#REF!</v>
      </c>
      <c r="C34" s="18" t="e">
        <f>IF(ROUND(('Number Input'!#REF!*0.03),2)&gt;B34,B34,(ROUND(('Number Input'!#REF!*0.03),2)))</f>
        <v>#REF!</v>
      </c>
      <c r="D34" s="19" t="e">
        <f>SUM(B34:C34)</f>
        <v>#REF!</v>
      </c>
    </row>
    <row r="35" spans="1:4" ht="15" x14ac:dyDescent="0.2">
      <c r="A35" s="12" t="s">
        <v>265</v>
      </c>
      <c r="B35" s="17" t="e">
        <f>'Number Input'!#REF!</f>
        <v>#REF!</v>
      </c>
      <c r="C35" s="18" t="e">
        <f>IF(ROUND(('Number Input'!#REF!*0.03),2)&gt;B35,B35,(ROUND(('Number Input'!#REF!*0.03),2)))</f>
        <v>#REF!</v>
      </c>
      <c r="D35" s="19" t="e">
        <f>SUM(B35:C35)</f>
        <v>#REF!</v>
      </c>
    </row>
    <row r="36" spans="1:4" ht="13.5" thickBot="1" x14ac:dyDescent="0.25"/>
    <row r="37" spans="1:4" ht="13.5" thickBot="1" x14ac:dyDescent="0.25">
      <c r="D37" s="15" t="e">
        <f>SUM(B33:C35)</f>
        <v>#REF!</v>
      </c>
    </row>
    <row r="38" spans="1:4" ht="13.5" thickBot="1" x14ac:dyDescent="0.25"/>
    <row r="39" spans="1:4" ht="13.5" thickBot="1" x14ac:dyDescent="0.25">
      <c r="C39" s="14" t="s">
        <v>269</v>
      </c>
      <c r="D39" s="15" t="e">
        <f>D37+D30+D23+D15+D8</f>
        <v>#REF!</v>
      </c>
    </row>
    <row r="43" spans="1:4" ht="46.5" customHeight="1" x14ac:dyDescent="0.2">
      <c r="B43" s="71"/>
      <c r="C43" s="71"/>
      <c r="D43" s="71"/>
    </row>
  </sheetData>
  <mergeCells count="1">
    <mergeCell ref="B43:D43"/>
  </mergeCells>
  <pageMargins left="0.7" right="0.7" top="0.75" bottom="0.75" header="0.3" footer="0.3"/>
  <pageSetup scale="96" orientation="portrait" r:id="rId1"/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A4F9-87C9-450A-AE3E-9D8F0A170ED4}">
  <sheetPr>
    <pageSetUpPr fitToPage="1"/>
  </sheetPr>
  <dimension ref="A1:D43"/>
  <sheetViews>
    <sheetView topLeftCell="A9" workbookViewId="0">
      <selection activeCell="M20" sqref="M20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v>45658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45663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55.02</v>
      </c>
      <c r="C6" s="18">
        <v>33.01</v>
      </c>
      <c r="D6" s="19">
        <v>88.03</v>
      </c>
    </row>
    <row r="7" spans="1:4" ht="13.5" thickBot="1" x14ac:dyDescent="0.25"/>
    <row r="8" spans="1:4" ht="13.5" thickBot="1" x14ac:dyDescent="0.25">
      <c r="D8" s="15">
        <v>251.22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45670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55.02</v>
      </c>
      <c r="C13" s="18">
        <v>33.01</v>
      </c>
      <c r="D13" s="19">
        <v>88.03</v>
      </c>
    </row>
    <row r="14" spans="1:4" ht="13.5" thickBot="1" x14ac:dyDescent="0.25"/>
    <row r="15" spans="1:4" ht="13.5" thickBot="1" x14ac:dyDescent="0.25">
      <c r="D15" s="15">
        <v>251.22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45677</v>
      </c>
    </row>
    <row r="20" spans="1:4" ht="15.75" thickBot="1" x14ac:dyDescent="0.25">
      <c r="A20" s="12" t="s">
        <v>266</v>
      </c>
      <c r="B20" s="17">
        <v>135.99</v>
      </c>
      <c r="C20" s="18">
        <v>27.2</v>
      </c>
      <c r="D20" s="19">
        <v>163.19</v>
      </c>
    </row>
    <row r="21" spans="1:4" ht="15" x14ac:dyDescent="0.2">
      <c r="A21" s="12" t="s">
        <v>265</v>
      </c>
      <c r="B21" s="17">
        <v>55.02</v>
      </c>
      <c r="C21" s="18">
        <v>33.01</v>
      </c>
      <c r="D21" s="19">
        <v>88.03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251.22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45684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55.02</v>
      </c>
      <c r="C28" s="18">
        <v>33.01</v>
      </c>
      <c r="D28" s="19">
        <v>88.03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251.22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1004.88</v>
      </c>
    </row>
    <row r="43" spans="1:4" ht="46.5" customHeight="1" x14ac:dyDescent="0.2">
      <c r="B43" s="71"/>
      <c r="C43" s="71"/>
      <c r="D43" s="71"/>
    </row>
  </sheetData>
  <mergeCells count="1">
    <mergeCell ref="B43:D43"/>
  </mergeCells>
  <pageMargins left="0.7" right="0.7" top="0.75" bottom="0.75" header="0.3" footer="0.3"/>
  <pageSetup scale="96" orientation="portrait" r:id="rId1"/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D9CB-33A6-47D4-957B-99A63D828756}">
  <sheetPr>
    <pageSetUpPr fitToPage="1"/>
  </sheetPr>
  <dimension ref="A1:D43"/>
  <sheetViews>
    <sheetView workbookViewId="0">
      <selection activeCell="B2" sqref="B2"/>
    </sheetView>
  </sheetViews>
  <sheetFormatPr defaultColWidth="9.140625"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v>45689</v>
      </c>
    </row>
    <row r="3" spans="1:4" ht="15.75" thickBot="1" x14ac:dyDescent="0.3">
      <c r="A3" s="10"/>
      <c r="B3" s="34" t="s">
        <v>267</v>
      </c>
      <c r="C3" s="34" t="s">
        <v>268</v>
      </c>
      <c r="D3" s="9" t="s">
        <v>7</v>
      </c>
    </row>
    <row r="4" spans="1:4" ht="13.5" thickBot="1" x14ac:dyDescent="0.25">
      <c r="A4" s="35">
        <v>45691</v>
      </c>
    </row>
    <row r="5" spans="1:4" ht="15.75" thickBot="1" x14ac:dyDescent="0.25">
      <c r="A5" s="12" t="s">
        <v>266</v>
      </c>
      <c r="B5" s="17">
        <v>135.99</v>
      </c>
      <c r="C5" s="18">
        <v>27.2</v>
      </c>
      <c r="D5" s="19">
        <v>163.19</v>
      </c>
    </row>
    <row r="6" spans="1:4" ht="15" x14ac:dyDescent="0.2">
      <c r="A6" s="12" t="s">
        <v>265</v>
      </c>
      <c r="B6" s="17">
        <v>55.02</v>
      </c>
      <c r="C6" s="18">
        <v>33.01</v>
      </c>
      <c r="D6" s="19">
        <v>88.03</v>
      </c>
    </row>
    <row r="7" spans="1:4" ht="13.5" thickBot="1" x14ac:dyDescent="0.25"/>
    <row r="8" spans="1:4" ht="13.5" thickBot="1" x14ac:dyDescent="0.25">
      <c r="D8" s="15">
        <v>251.22</v>
      </c>
    </row>
    <row r="10" spans="1:4" ht="15.75" thickBot="1" x14ac:dyDescent="0.3">
      <c r="A10" s="10"/>
      <c r="B10" s="34" t="s">
        <v>267</v>
      </c>
      <c r="C10" s="34" t="s">
        <v>268</v>
      </c>
      <c r="D10" s="9" t="s">
        <v>7</v>
      </c>
    </row>
    <row r="11" spans="1:4" ht="13.5" thickBot="1" x14ac:dyDescent="0.25">
      <c r="A11" s="35">
        <v>45698</v>
      </c>
    </row>
    <row r="12" spans="1:4" ht="15.75" thickBot="1" x14ac:dyDescent="0.25">
      <c r="A12" s="12" t="s">
        <v>266</v>
      </c>
      <c r="B12" s="17">
        <v>135.99</v>
      </c>
      <c r="C12" s="18">
        <v>27.2</v>
      </c>
      <c r="D12" s="19">
        <v>163.19</v>
      </c>
    </row>
    <row r="13" spans="1:4" ht="15" x14ac:dyDescent="0.2">
      <c r="A13" s="12" t="s">
        <v>265</v>
      </c>
      <c r="B13" s="17">
        <v>55.02</v>
      </c>
      <c r="C13" s="18">
        <v>33.01</v>
      </c>
      <c r="D13" s="19">
        <v>88.03</v>
      </c>
    </row>
    <row r="14" spans="1:4" ht="13.5" thickBot="1" x14ac:dyDescent="0.25"/>
    <row r="15" spans="1:4" ht="13.5" thickBot="1" x14ac:dyDescent="0.25">
      <c r="D15" s="15">
        <v>251.22</v>
      </c>
    </row>
    <row r="18" spans="1:4" ht="15.75" thickBot="1" x14ac:dyDescent="0.3"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45705</v>
      </c>
    </row>
    <row r="20" spans="1:4" ht="15.75" thickBot="1" x14ac:dyDescent="0.25">
      <c r="A20" s="12" t="s">
        <v>266</v>
      </c>
      <c r="B20" s="17">
        <v>132.01</v>
      </c>
      <c r="C20" s="18">
        <v>26.4</v>
      </c>
      <c r="D20" s="19">
        <v>158.41</v>
      </c>
    </row>
    <row r="21" spans="1:4" ht="15" x14ac:dyDescent="0.2">
      <c r="A21" s="12" t="s">
        <v>265</v>
      </c>
      <c r="B21" s="17">
        <v>55.02</v>
      </c>
      <c r="C21" s="18">
        <v>33.01</v>
      </c>
      <c r="D21" s="19">
        <v>88.03</v>
      </c>
    </row>
    <row r="22" spans="1:4" ht="15.75" thickBot="1" x14ac:dyDescent="0.25">
      <c r="A22" s="12"/>
      <c r="B22" s="26"/>
      <c r="C22" s="26"/>
      <c r="D22" s="27"/>
    </row>
    <row r="23" spans="1:4" ht="13.5" thickBot="1" x14ac:dyDescent="0.25">
      <c r="D23" s="15">
        <v>246.44</v>
      </c>
    </row>
    <row r="25" spans="1:4" ht="15.75" thickBot="1" x14ac:dyDescent="0.3">
      <c r="A25" s="10"/>
      <c r="B25" s="34" t="s">
        <v>267</v>
      </c>
      <c r="C25" s="34" t="s">
        <v>268</v>
      </c>
      <c r="D25" s="9" t="s">
        <v>7</v>
      </c>
    </row>
    <row r="26" spans="1:4" ht="13.5" thickBot="1" x14ac:dyDescent="0.25">
      <c r="A26" s="35">
        <v>45712</v>
      </c>
    </row>
    <row r="27" spans="1:4" ht="15.75" thickBot="1" x14ac:dyDescent="0.25">
      <c r="A27" s="12" t="s">
        <v>266</v>
      </c>
      <c r="B27" s="17">
        <v>135.99</v>
      </c>
      <c r="C27" s="18">
        <v>27.2</v>
      </c>
      <c r="D27" s="19">
        <v>163.19</v>
      </c>
    </row>
    <row r="28" spans="1:4" ht="15" x14ac:dyDescent="0.2">
      <c r="A28" s="12" t="s">
        <v>265</v>
      </c>
      <c r="B28" s="17">
        <v>55.02</v>
      </c>
      <c r="C28" s="18">
        <v>33.01</v>
      </c>
      <c r="D28" s="19">
        <v>88.03</v>
      </c>
    </row>
    <row r="29" spans="1:4" ht="12.75" customHeight="1" thickBot="1" x14ac:dyDescent="0.25">
      <c r="A29" s="12"/>
      <c r="B29" s="26"/>
      <c r="C29" s="26"/>
      <c r="D29" s="26"/>
    </row>
    <row r="30" spans="1:4" ht="15.75" thickBot="1" x14ac:dyDescent="0.25">
      <c r="A30" s="12"/>
      <c r="B30" s="26"/>
      <c r="C30" s="26"/>
      <c r="D30" s="15">
        <v>251.22</v>
      </c>
    </row>
    <row r="32" spans="1:4" ht="15.75" thickBot="1" x14ac:dyDescent="0.3">
      <c r="A32" s="10"/>
      <c r="B32" s="34" t="s">
        <v>267</v>
      </c>
      <c r="C32" s="34" t="s">
        <v>268</v>
      </c>
      <c r="D32" s="9" t="s">
        <v>7</v>
      </c>
    </row>
    <row r="33" spans="1:4" ht="13.5" thickBot="1" x14ac:dyDescent="0.25">
      <c r="A33" s="35" t="s">
        <v>273</v>
      </c>
    </row>
    <row r="34" spans="1:4" ht="15.75" thickBot="1" x14ac:dyDescent="0.25">
      <c r="A34" s="12" t="s">
        <v>266</v>
      </c>
      <c r="B34" s="17">
        <v>0</v>
      </c>
      <c r="C34" s="18">
        <v>0</v>
      </c>
      <c r="D34" s="19">
        <v>0</v>
      </c>
    </row>
    <row r="35" spans="1:4" ht="15" x14ac:dyDescent="0.2">
      <c r="A35" s="12" t="s">
        <v>265</v>
      </c>
      <c r="B35" s="17">
        <v>0</v>
      </c>
      <c r="C35" s="18">
        <v>0</v>
      </c>
      <c r="D35" s="19">
        <v>0</v>
      </c>
    </row>
    <row r="36" spans="1:4" ht="13.5" thickBot="1" x14ac:dyDescent="0.25"/>
    <row r="37" spans="1:4" ht="13.5" thickBot="1" x14ac:dyDescent="0.25">
      <c r="D37" s="15">
        <v>0</v>
      </c>
    </row>
    <row r="38" spans="1:4" ht="13.5" thickBot="1" x14ac:dyDescent="0.25"/>
    <row r="39" spans="1:4" ht="13.5" thickBot="1" x14ac:dyDescent="0.25">
      <c r="C39" s="14" t="s">
        <v>269</v>
      </c>
      <c r="D39" s="15">
        <v>1000.1</v>
      </c>
    </row>
    <row r="43" spans="1:4" ht="46.5" customHeight="1" x14ac:dyDescent="0.2">
      <c r="B43" s="71"/>
      <c r="C43" s="71"/>
      <c r="D43" s="71"/>
    </row>
  </sheetData>
  <mergeCells count="1">
    <mergeCell ref="B43:D43"/>
  </mergeCells>
  <pageMargins left="0.7" right="0.7" top="0.75" bottom="0.75" header="0.3" footer="0.3"/>
  <pageSetup scale="96" orientation="portrait" r:id="rId1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F8CA-ABE3-40A5-A7D6-60D6BEE282F8}">
  <sheetPr>
    <pageSetUpPr fitToPage="1"/>
  </sheetPr>
  <dimension ref="A1:D52"/>
  <sheetViews>
    <sheetView workbookViewId="0">
      <selection activeCell="J23" sqref="J23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  <col min="4" max="4" width="21.140625" style="9" customWidth="1"/>
  </cols>
  <sheetData>
    <row r="1" spans="1:4" ht="13.5" thickBot="1" x14ac:dyDescent="0.25"/>
    <row r="2" spans="1:4" ht="13.5" thickBot="1" x14ac:dyDescent="0.25">
      <c r="A2" s="11" t="s">
        <v>270</v>
      </c>
      <c r="B2" s="35">
        <v>45717</v>
      </c>
    </row>
    <row r="3" spans="1:4" x14ac:dyDescent="0.2">
      <c r="A3" s="11"/>
      <c r="B3" s="37"/>
    </row>
    <row r="4" spans="1:4" ht="13.5" thickBot="1" x14ac:dyDescent="0.25">
      <c r="A4" s="10"/>
      <c r="B4" s="37" t="s">
        <v>267</v>
      </c>
      <c r="C4" s="9" t="s">
        <v>268</v>
      </c>
      <c r="D4" s="9" t="s">
        <v>7</v>
      </c>
    </row>
    <row r="5" spans="1:4" ht="13.5" thickBot="1" x14ac:dyDescent="0.25">
      <c r="A5" s="35" t="s">
        <v>274</v>
      </c>
    </row>
    <row r="6" spans="1:4" ht="15.75" thickBot="1" x14ac:dyDescent="0.25">
      <c r="A6" s="12" t="s">
        <v>266</v>
      </c>
      <c r="B6" s="17">
        <v>639.15</v>
      </c>
      <c r="C6" s="17">
        <v>127.83059999999998</v>
      </c>
      <c r="D6" s="17">
        <v>766.98059999999998</v>
      </c>
    </row>
    <row r="7" spans="1:4" ht="15" x14ac:dyDescent="0.2">
      <c r="A7" s="12" t="s">
        <v>265</v>
      </c>
      <c r="B7" s="17">
        <v>271.32</v>
      </c>
      <c r="C7" s="17">
        <v>162.79050000000001</v>
      </c>
      <c r="D7" s="17">
        <v>434.11050000000012</v>
      </c>
    </row>
    <row r="8" spans="1:4" ht="13.5" thickBot="1" x14ac:dyDescent="0.25"/>
    <row r="9" spans="1:4" ht="13.5" thickBot="1" x14ac:dyDescent="0.25">
      <c r="D9" s="15">
        <v>1201.0911000000001</v>
      </c>
    </row>
    <row r="10" spans="1:4" x14ac:dyDescent="0.2">
      <c r="D10" s="26"/>
    </row>
    <row r="11" spans="1:4" ht="13.5" thickBot="1" x14ac:dyDescent="0.25">
      <c r="A11" s="10"/>
      <c r="B11" s="37" t="s">
        <v>267</v>
      </c>
      <c r="C11" s="9" t="s">
        <v>268</v>
      </c>
      <c r="D11" s="9" t="s">
        <v>7</v>
      </c>
    </row>
    <row r="12" spans="1:4" ht="13.5" thickBot="1" x14ac:dyDescent="0.25">
      <c r="A12" s="35">
        <v>45719</v>
      </c>
    </row>
    <row r="13" spans="1:4" ht="15.75" thickBot="1" x14ac:dyDescent="0.25">
      <c r="A13" s="12" t="s">
        <v>266</v>
      </c>
      <c r="B13" s="17">
        <v>122.39</v>
      </c>
      <c r="C13" s="17">
        <v>815.94</v>
      </c>
      <c r="D13" s="17">
        <v>146.8682</v>
      </c>
    </row>
    <row r="14" spans="1:4" ht="15" x14ac:dyDescent="0.2">
      <c r="A14" s="12" t="s">
        <v>265</v>
      </c>
      <c r="B14" s="17">
        <v>55.02</v>
      </c>
      <c r="C14" s="17">
        <v>1100.4000000000001</v>
      </c>
      <c r="D14" s="17">
        <v>88.032000000000011</v>
      </c>
    </row>
    <row r="15" spans="1:4" ht="13.5" thickBot="1" x14ac:dyDescent="0.25"/>
    <row r="16" spans="1:4" ht="13.5" thickBot="1" x14ac:dyDescent="0.25">
      <c r="D16" s="38">
        <v>234.90020000000001</v>
      </c>
    </row>
    <row r="18" spans="1:4" ht="15.75" thickBot="1" x14ac:dyDescent="0.3">
      <c r="A18" s="10"/>
      <c r="B18" s="34" t="s">
        <v>267</v>
      </c>
      <c r="C18" s="34" t="s">
        <v>268</v>
      </c>
      <c r="D18" s="9" t="s">
        <v>7</v>
      </c>
    </row>
    <row r="19" spans="1:4" ht="13.5" thickBot="1" x14ac:dyDescent="0.25">
      <c r="A19" s="35">
        <v>45726</v>
      </c>
    </row>
    <row r="20" spans="1:4" ht="15.75" thickBot="1" x14ac:dyDescent="0.25">
      <c r="A20" s="12" t="s">
        <v>266</v>
      </c>
      <c r="B20" s="17">
        <v>135.99</v>
      </c>
      <c r="C20" s="18">
        <v>906.6</v>
      </c>
      <c r="D20" s="19">
        <v>163.18800000000002</v>
      </c>
    </row>
    <row r="21" spans="1:4" ht="15" x14ac:dyDescent="0.2">
      <c r="A21" s="12" t="s">
        <v>265</v>
      </c>
      <c r="B21" s="17">
        <v>53.99</v>
      </c>
      <c r="C21" s="18">
        <v>1079.77</v>
      </c>
      <c r="D21" s="19">
        <v>86.383099999999999</v>
      </c>
    </row>
    <row r="22" spans="1:4" ht="13.5" thickBot="1" x14ac:dyDescent="0.25"/>
    <row r="23" spans="1:4" ht="13.5" thickBot="1" x14ac:dyDescent="0.25">
      <c r="D23" s="15">
        <v>249.5711</v>
      </c>
    </row>
    <row r="26" spans="1:4" ht="15.75" thickBot="1" x14ac:dyDescent="0.3">
      <c r="B26" s="34" t="s">
        <v>267</v>
      </c>
      <c r="C26" s="34" t="s">
        <v>268</v>
      </c>
      <c r="D26" s="9" t="s">
        <v>7</v>
      </c>
    </row>
    <row r="27" spans="1:4" ht="13.5" thickBot="1" x14ac:dyDescent="0.25">
      <c r="A27" s="35">
        <v>45733</v>
      </c>
    </row>
    <row r="28" spans="1:4" ht="15.75" thickBot="1" x14ac:dyDescent="0.25">
      <c r="A28" s="12" t="s">
        <v>266</v>
      </c>
      <c r="B28" s="17">
        <v>135.99</v>
      </c>
      <c r="C28" s="18">
        <v>906.6</v>
      </c>
      <c r="D28" s="19">
        <v>163.18800000000002</v>
      </c>
    </row>
    <row r="29" spans="1:4" ht="15" x14ac:dyDescent="0.2">
      <c r="A29" s="12" t="s">
        <v>265</v>
      </c>
      <c r="B29" s="17">
        <v>52.27</v>
      </c>
      <c r="C29" s="18">
        <v>1045.3800000000001</v>
      </c>
      <c r="D29" s="19">
        <v>83.631400000000014</v>
      </c>
    </row>
    <row r="30" spans="1:4" ht="15.75" thickBot="1" x14ac:dyDescent="0.25">
      <c r="A30" s="12"/>
    </row>
    <row r="31" spans="1:4" ht="13.5" thickBot="1" x14ac:dyDescent="0.25">
      <c r="D31" s="15">
        <v>246.81940000000003</v>
      </c>
    </row>
    <row r="33" spans="1:4" ht="15.75" thickBot="1" x14ac:dyDescent="0.3">
      <c r="A33" s="10"/>
      <c r="B33" s="34" t="s">
        <v>267</v>
      </c>
      <c r="C33" s="34" t="s">
        <v>268</v>
      </c>
      <c r="D33" s="9" t="s">
        <v>7</v>
      </c>
    </row>
    <row r="34" spans="1:4" ht="13.5" thickBot="1" x14ac:dyDescent="0.25">
      <c r="A34" s="35">
        <v>45740</v>
      </c>
    </row>
    <row r="35" spans="1:4" ht="15.75" thickBot="1" x14ac:dyDescent="0.25">
      <c r="A35" s="12" t="s">
        <v>266</v>
      </c>
      <c r="B35" s="17">
        <v>135.99</v>
      </c>
      <c r="C35" s="18">
        <v>906.6</v>
      </c>
      <c r="D35" s="19">
        <v>163.18800000000002</v>
      </c>
    </row>
    <row r="36" spans="1:4" ht="15" x14ac:dyDescent="0.2">
      <c r="A36" s="12" t="s">
        <v>265</v>
      </c>
      <c r="B36" s="17">
        <v>55.02</v>
      </c>
      <c r="C36" s="18">
        <v>1100.4000000000001</v>
      </c>
      <c r="D36" s="19">
        <v>88.032000000000011</v>
      </c>
    </row>
    <row r="37" spans="1:4" ht="12.75" customHeight="1" thickBot="1" x14ac:dyDescent="0.25">
      <c r="A37" s="12"/>
    </row>
    <row r="38" spans="1:4" ht="15.75" thickBot="1" x14ac:dyDescent="0.25">
      <c r="A38" s="12"/>
      <c r="D38" s="15">
        <v>251.22000000000003</v>
      </c>
    </row>
    <row r="40" spans="1:4" ht="15.75" thickBot="1" x14ac:dyDescent="0.3">
      <c r="A40" s="10"/>
      <c r="B40" s="34" t="s">
        <v>267</v>
      </c>
      <c r="C40" s="34" t="s">
        <v>268</v>
      </c>
      <c r="D40" s="9" t="s">
        <v>7</v>
      </c>
    </row>
    <row r="41" spans="1:4" ht="13.5" thickBot="1" x14ac:dyDescent="0.25">
      <c r="A41" s="35">
        <v>45747</v>
      </c>
    </row>
    <row r="42" spans="1:4" ht="15.75" thickBot="1" x14ac:dyDescent="0.25">
      <c r="A42" s="12" t="s">
        <v>266</v>
      </c>
      <c r="B42" s="17">
        <v>108.79</v>
      </c>
      <c r="C42" s="18">
        <v>725.28</v>
      </c>
      <c r="D42" s="19">
        <v>130.54840000000002</v>
      </c>
    </row>
    <row r="43" spans="1:4" ht="15" x14ac:dyDescent="0.2">
      <c r="A43" s="12" t="s">
        <v>265</v>
      </c>
      <c r="B43" s="17">
        <v>55.02</v>
      </c>
      <c r="C43" s="18">
        <v>1100.4000000000001</v>
      </c>
      <c r="D43" s="19">
        <v>88.032000000000011</v>
      </c>
    </row>
    <row r="44" spans="1:4" ht="13.5" thickBot="1" x14ac:dyDescent="0.25"/>
    <row r="45" spans="1:4" ht="13.5" thickBot="1" x14ac:dyDescent="0.25">
      <c r="D45" s="15">
        <v>218.58040000000003</v>
      </c>
    </row>
    <row r="46" spans="1:4" x14ac:dyDescent="0.2">
      <c r="B46" s="26"/>
      <c r="C46" s="26"/>
      <c r="D46" s="26"/>
    </row>
    <row r="47" spans="1:4" x14ac:dyDescent="0.2">
      <c r="B47" s="26"/>
      <c r="C47" s="39" t="s">
        <v>275</v>
      </c>
      <c r="D47" s="26">
        <v>1201.0911000000001</v>
      </c>
    </row>
    <row r="48" spans="1:4" x14ac:dyDescent="0.2">
      <c r="B48" s="26"/>
      <c r="C48" s="26"/>
      <c r="D48" s="26"/>
    </row>
    <row r="50" spans="2:4" x14ac:dyDescent="0.2">
      <c r="C50" s="8"/>
    </row>
    <row r="51" spans="2:4" x14ac:dyDescent="0.2">
      <c r="B51" s="71" t="e" vm="1">
        <v>#VALUE!</v>
      </c>
      <c r="C51" s="72"/>
      <c r="D51" s="72"/>
    </row>
    <row r="52" spans="2:4" ht="37.5" customHeight="1" x14ac:dyDescent="0.2">
      <c r="B52" s="72"/>
      <c r="C52" s="72"/>
      <c r="D52" s="72"/>
    </row>
  </sheetData>
  <mergeCells count="1">
    <mergeCell ref="B51:D52"/>
  </mergeCells>
  <pageMargins left="0.7" right="0.7" top="0.75" bottom="0.75" header="0.3" footer="0.3"/>
  <pageSetup scale="96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08A7-6FDD-479A-A109-891AE373A95D}">
  <sheetPr>
    <pageSetUpPr fitToPage="1"/>
  </sheetPr>
  <dimension ref="A1:D52"/>
  <sheetViews>
    <sheetView workbookViewId="0"/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</cols>
  <sheetData>
    <row r="1" spans="1:4" ht="13.5" thickBot="1" x14ac:dyDescent="0.25"/>
    <row r="2" spans="1:4" ht="13.5" thickBot="1" x14ac:dyDescent="0.25">
      <c r="A2" s="11" t="s">
        <v>270</v>
      </c>
      <c r="B2" s="43">
        <v>45748</v>
      </c>
    </row>
    <row r="3" spans="1:4" x14ac:dyDescent="0.2">
      <c r="A3" s="11"/>
      <c r="B3" s="44"/>
    </row>
    <row r="4" spans="1:4" ht="13.5" thickBot="1" x14ac:dyDescent="0.25">
      <c r="A4" s="10"/>
      <c r="B4" s="44" t="s">
        <v>267</v>
      </c>
      <c r="C4" s="42" t="s">
        <v>268</v>
      </c>
      <c r="D4" s="42" t="s">
        <v>7</v>
      </c>
    </row>
    <row r="5" spans="1:4" ht="13.5" thickBot="1" x14ac:dyDescent="0.25">
      <c r="A5" s="43" t="s">
        <v>274</v>
      </c>
    </row>
    <row r="6" spans="1:4" ht="15.75" thickBot="1" x14ac:dyDescent="0.25">
      <c r="A6" s="12" t="s">
        <v>266</v>
      </c>
      <c r="B6" s="45">
        <v>516.76</v>
      </c>
      <c r="C6" s="45">
        <v>103.35239999999999</v>
      </c>
      <c r="D6" s="45">
        <v>620.11239999999998</v>
      </c>
    </row>
    <row r="7" spans="1:4" ht="15" x14ac:dyDescent="0.2">
      <c r="A7" s="12" t="s">
        <v>265</v>
      </c>
      <c r="B7" s="45">
        <v>215.27</v>
      </c>
      <c r="C7" s="45">
        <v>129.15989999999999</v>
      </c>
      <c r="D7" s="45">
        <v>344.42989999999998</v>
      </c>
    </row>
    <row r="8" spans="1:4" ht="13.5" thickBot="1" x14ac:dyDescent="0.25"/>
    <row r="9" spans="1:4" ht="13.5" thickBot="1" x14ac:dyDescent="0.25">
      <c r="D9" s="46">
        <v>964.54229999999995</v>
      </c>
    </row>
    <row r="10" spans="1:4" x14ac:dyDescent="0.2">
      <c r="D10" s="47"/>
    </row>
    <row r="11" spans="1:4" ht="13.5" thickBot="1" x14ac:dyDescent="0.25">
      <c r="A11" s="10"/>
      <c r="B11" s="44" t="s">
        <v>267</v>
      </c>
      <c r="C11" s="42" t="s">
        <v>268</v>
      </c>
      <c r="D11" s="42" t="s">
        <v>7</v>
      </c>
    </row>
    <row r="12" spans="1:4" ht="13.5" thickBot="1" x14ac:dyDescent="0.25">
      <c r="A12" s="43">
        <v>45754</v>
      </c>
    </row>
    <row r="13" spans="1:4" ht="15.75" thickBot="1" x14ac:dyDescent="0.25">
      <c r="A13" s="12" t="s">
        <v>266</v>
      </c>
      <c r="B13" s="45">
        <v>135.99</v>
      </c>
      <c r="C13" s="45">
        <v>906.6</v>
      </c>
      <c r="D13" s="45">
        <v>163.18800000000002</v>
      </c>
    </row>
    <row r="14" spans="1:4" ht="15" x14ac:dyDescent="0.2">
      <c r="A14" s="12" t="s">
        <v>265</v>
      </c>
      <c r="B14" s="45">
        <v>50.21</v>
      </c>
      <c r="C14" s="45">
        <v>1004.12</v>
      </c>
      <c r="D14" s="45">
        <v>80.333600000000004</v>
      </c>
    </row>
    <row r="15" spans="1:4" ht="13.5" thickBot="1" x14ac:dyDescent="0.25"/>
    <row r="16" spans="1:4" ht="13.5" thickBot="1" x14ac:dyDescent="0.25">
      <c r="D16" s="48">
        <v>243.52160000000003</v>
      </c>
    </row>
    <row r="18" spans="1:4" ht="15.75" thickBot="1" x14ac:dyDescent="0.3">
      <c r="A18" s="10"/>
      <c r="B18" s="49" t="s">
        <v>267</v>
      </c>
      <c r="C18" s="49" t="s">
        <v>268</v>
      </c>
      <c r="D18" s="42" t="s">
        <v>7</v>
      </c>
    </row>
    <row r="19" spans="1:4" ht="13.5" thickBot="1" x14ac:dyDescent="0.25">
      <c r="A19" s="43">
        <v>45761</v>
      </c>
    </row>
    <row r="20" spans="1:4" ht="15.75" thickBot="1" x14ac:dyDescent="0.25">
      <c r="A20" s="12" t="s">
        <v>266</v>
      </c>
      <c r="B20" s="45">
        <v>135.99</v>
      </c>
      <c r="C20" s="45">
        <v>906.6</v>
      </c>
      <c r="D20" s="45">
        <v>163.18800000000002</v>
      </c>
    </row>
    <row r="21" spans="1:4" ht="15" x14ac:dyDescent="0.2">
      <c r="A21" s="12" t="s">
        <v>265</v>
      </c>
      <c r="B21" s="45">
        <v>55.02</v>
      </c>
      <c r="C21" s="45">
        <v>1100.4000000000001</v>
      </c>
      <c r="D21" s="45">
        <v>88.032000000000011</v>
      </c>
    </row>
    <row r="22" spans="1:4" ht="13.5" thickBot="1" x14ac:dyDescent="0.25"/>
    <row r="23" spans="1:4" ht="13.5" thickBot="1" x14ac:dyDescent="0.25">
      <c r="D23" s="46">
        <v>251.22000000000003</v>
      </c>
    </row>
    <row r="26" spans="1:4" ht="15.75" thickBot="1" x14ac:dyDescent="0.3">
      <c r="B26" s="49" t="s">
        <v>267</v>
      </c>
      <c r="C26" s="49" t="s">
        <v>268</v>
      </c>
      <c r="D26" s="42" t="s">
        <v>7</v>
      </c>
    </row>
    <row r="27" spans="1:4" ht="13.5" thickBot="1" x14ac:dyDescent="0.25">
      <c r="A27" s="43">
        <v>45768</v>
      </c>
    </row>
    <row r="28" spans="1:4" ht="15.75" thickBot="1" x14ac:dyDescent="0.25">
      <c r="A28" s="12" t="s">
        <v>266</v>
      </c>
      <c r="B28" s="45">
        <v>108.79</v>
      </c>
      <c r="C28" s="45">
        <v>725.28</v>
      </c>
      <c r="D28" s="45">
        <v>130.54840000000002</v>
      </c>
    </row>
    <row r="29" spans="1:4" ht="15" x14ac:dyDescent="0.2">
      <c r="A29" s="12" t="s">
        <v>265</v>
      </c>
      <c r="B29" s="45">
        <v>55.02</v>
      </c>
      <c r="C29" s="45">
        <v>1100.4000000000001</v>
      </c>
      <c r="D29" s="45">
        <v>88.032000000000011</v>
      </c>
    </row>
    <row r="30" spans="1:4" ht="15.75" thickBot="1" x14ac:dyDescent="0.25">
      <c r="A30" s="12"/>
    </row>
    <row r="31" spans="1:4" ht="13.5" thickBot="1" x14ac:dyDescent="0.25">
      <c r="D31" s="46">
        <v>218.58040000000003</v>
      </c>
    </row>
    <row r="33" spans="1:4" ht="15.75" thickBot="1" x14ac:dyDescent="0.3">
      <c r="A33" s="10"/>
      <c r="B33" s="49" t="s">
        <v>267</v>
      </c>
      <c r="C33" s="49" t="s">
        <v>268</v>
      </c>
      <c r="D33" s="42" t="s">
        <v>7</v>
      </c>
    </row>
    <row r="34" spans="1:4" ht="13.5" thickBot="1" x14ac:dyDescent="0.25">
      <c r="A34" s="43">
        <v>45775</v>
      </c>
    </row>
    <row r="35" spans="1:4" ht="15.75" thickBot="1" x14ac:dyDescent="0.25">
      <c r="A35" s="12" t="s">
        <v>266</v>
      </c>
      <c r="B35" s="45">
        <v>135.99</v>
      </c>
      <c r="C35" s="45">
        <v>906.6</v>
      </c>
      <c r="D35" s="45">
        <v>163.18800000000002</v>
      </c>
    </row>
    <row r="36" spans="1:4" ht="15" x14ac:dyDescent="0.2">
      <c r="A36" s="12" t="s">
        <v>265</v>
      </c>
      <c r="B36" s="45">
        <v>55.02</v>
      </c>
      <c r="C36" s="45">
        <v>1100.4100000000001</v>
      </c>
      <c r="D36" s="45">
        <v>88.032300000000006</v>
      </c>
    </row>
    <row r="37" spans="1:4" ht="12.75" customHeight="1" thickBot="1" x14ac:dyDescent="0.25">
      <c r="A37" s="12"/>
    </row>
    <row r="38" spans="1:4" ht="15.75" thickBot="1" x14ac:dyDescent="0.25">
      <c r="A38" s="12"/>
      <c r="D38" s="46">
        <v>251.22030000000001</v>
      </c>
    </row>
    <row r="40" spans="1:4" ht="15.75" thickBot="1" x14ac:dyDescent="0.3">
      <c r="A40" s="10"/>
      <c r="B40" s="49" t="s">
        <v>267</v>
      </c>
      <c r="C40" s="49" t="s">
        <v>268</v>
      </c>
      <c r="D40" s="42" t="s">
        <v>7</v>
      </c>
    </row>
    <row r="41" spans="1:4" ht="13.5" thickBot="1" x14ac:dyDescent="0.25">
      <c r="A41" s="43" t="s">
        <v>273</v>
      </c>
    </row>
    <row r="42" spans="1:4" ht="15.75" thickBot="1" x14ac:dyDescent="0.25">
      <c r="A42" s="12" t="s">
        <v>266</v>
      </c>
      <c r="B42" s="45">
        <v>0</v>
      </c>
      <c r="C42" s="45">
        <v>0</v>
      </c>
      <c r="D42" s="45">
        <v>0</v>
      </c>
    </row>
    <row r="43" spans="1:4" ht="15" x14ac:dyDescent="0.2">
      <c r="A43" s="12" t="s">
        <v>265</v>
      </c>
      <c r="B43" s="45">
        <v>0</v>
      </c>
      <c r="C43" s="45">
        <v>0</v>
      </c>
      <c r="D43" s="45">
        <v>0</v>
      </c>
    </row>
    <row r="44" spans="1:4" ht="13.5" thickBot="1" x14ac:dyDescent="0.25"/>
    <row r="45" spans="1:4" ht="13.5" thickBot="1" x14ac:dyDescent="0.25">
      <c r="D45" s="46">
        <v>0</v>
      </c>
    </row>
    <row r="46" spans="1:4" x14ac:dyDescent="0.2">
      <c r="B46" s="47"/>
      <c r="C46" s="47"/>
      <c r="D46" s="47"/>
    </row>
    <row r="47" spans="1:4" x14ac:dyDescent="0.2">
      <c r="B47" s="47"/>
      <c r="C47" s="50" t="s">
        <v>275</v>
      </c>
      <c r="D47" s="47">
        <v>964.54230000000007</v>
      </c>
    </row>
    <row r="48" spans="1:4" x14ac:dyDescent="0.2">
      <c r="B48" s="47"/>
      <c r="C48" s="47"/>
      <c r="D48" s="47"/>
    </row>
    <row r="50" spans="2:4" x14ac:dyDescent="0.2">
      <c r="C50" s="8"/>
    </row>
    <row r="51" spans="2:4" ht="56.25" customHeight="1" x14ac:dyDescent="0.2">
      <c r="B51" s="40"/>
      <c r="C51" s="40" t="e" vm="1">
        <v>#VALUE!</v>
      </c>
      <c r="D51" s="2"/>
    </row>
    <row r="52" spans="2:4" ht="37.5" customHeight="1" x14ac:dyDescent="0.2">
      <c r="B52" s="2"/>
      <c r="C52" s="2"/>
      <c r="D52" s="2"/>
    </row>
  </sheetData>
  <pageMargins left="0.7" right="0.7" top="0.75" bottom="0.75" header="0.3" footer="0.3"/>
  <pageSetup scale="96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428F-77D2-49BF-AA1E-808D39D54F30}">
  <sheetPr>
    <pageSetUpPr fitToPage="1"/>
  </sheetPr>
  <dimension ref="A1:D52"/>
  <sheetViews>
    <sheetView workbookViewId="0">
      <selection sqref="A1:XFD1048576"/>
    </sheetView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</cols>
  <sheetData>
    <row r="1" spans="1:4" ht="13.5" thickBot="1" x14ac:dyDescent="0.25"/>
    <row r="2" spans="1:4" ht="13.5" thickBot="1" x14ac:dyDescent="0.25">
      <c r="A2" s="11" t="s">
        <v>270</v>
      </c>
      <c r="B2" s="43">
        <v>45778</v>
      </c>
    </row>
    <row r="3" spans="1:4" x14ac:dyDescent="0.2">
      <c r="A3" s="11"/>
      <c r="B3" s="44"/>
    </row>
    <row r="4" spans="1:4" ht="13.5" thickBot="1" x14ac:dyDescent="0.25">
      <c r="A4" s="10"/>
      <c r="B4" s="44" t="s">
        <v>267</v>
      </c>
      <c r="C4" s="42" t="s">
        <v>268</v>
      </c>
      <c r="D4" s="42" t="s">
        <v>7</v>
      </c>
    </row>
    <row r="5" spans="1:4" ht="13.5" thickBot="1" x14ac:dyDescent="0.25">
      <c r="A5" s="43" t="s">
        <v>274</v>
      </c>
    </row>
    <row r="6" spans="1:4" ht="15.75" thickBot="1" x14ac:dyDescent="0.25">
      <c r="A6" s="12" t="s">
        <v>266</v>
      </c>
      <c r="B6" s="45">
        <v>503.16</v>
      </c>
      <c r="C6" s="45">
        <v>100.6326</v>
      </c>
      <c r="D6" s="45">
        <v>603.79259999999999</v>
      </c>
    </row>
    <row r="7" spans="1:4" ht="15" x14ac:dyDescent="0.2">
      <c r="A7" s="12" t="s">
        <v>265</v>
      </c>
      <c r="B7" s="45">
        <v>220.08</v>
      </c>
      <c r="C7" s="45">
        <v>132.04830000000001</v>
      </c>
      <c r="D7" s="45">
        <v>352.12830000000002</v>
      </c>
    </row>
    <row r="8" spans="1:4" ht="13.5" thickBot="1" x14ac:dyDescent="0.25"/>
    <row r="9" spans="1:4" ht="13.5" thickBot="1" x14ac:dyDescent="0.25">
      <c r="D9" s="46">
        <v>955.92090000000007</v>
      </c>
    </row>
    <row r="10" spans="1:4" x14ac:dyDescent="0.2">
      <c r="D10" s="47"/>
    </row>
    <row r="11" spans="1:4" ht="13.5" thickBot="1" x14ac:dyDescent="0.25">
      <c r="A11" s="10"/>
      <c r="B11" s="44" t="s">
        <v>267</v>
      </c>
      <c r="C11" s="42" t="s">
        <v>268</v>
      </c>
      <c r="D11" s="42" t="s">
        <v>7</v>
      </c>
    </row>
    <row r="12" spans="1:4" ht="13.5" thickBot="1" x14ac:dyDescent="0.25">
      <c r="A12" s="43">
        <v>45782</v>
      </c>
    </row>
    <row r="13" spans="1:4" ht="15.75" thickBot="1" x14ac:dyDescent="0.25">
      <c r="A13" s="12" t="s">
        <v>266</v>
      </c>
      <c r="B13" s="45">
        <v>135.99</v>
      </c>
      <c r="C13" s="45">
        <v>906.6</v>
      </c>
      <c r="D13" s="45">
        <v>163.18800000000002</v>
      </c>
    </row>
    <row r="14" spans="1:4" ht="15" x14ac:dyDescent="0.2">
      <c r="A14" s="12" t="s">
        <v>265</v>
      </c>
      <c r="B14" s="45">
        <v>55.02</v>
      </c>
      <c r="C14" s="45">
        <v>1100.4000000000001</v>
      </c>
      <c r="D14" s="45">
        <v>88.032000000000011</v>
      </c>
    </row>
    <row r="15" spans="1:4" ht="13.5" thickBot="1" x14ac:dyDescent="0.25"/>
    <row r="16" spans="1:4" ht="13.5" thickBot="1" x14ac:dyDescent="0.25">
      <c r="D16" s="48">
        <v>251.22000000000003</v>
      </c>
    </row>
    <row r="18" spans="1:4" ht="15.75" thickBot="1" x14ac:dyDescent="0.3">
      <c r="A18" s="10"/>
      <c r="B18" s="49" t="s">
        <v>267</v>
      </c>
      <c r="C18" s="49" t="s">
        <v>268</v>
      </c>
      <c r="D18" s="42" t="s">
        <v>7</v>
      </c>
    </row>
    <row r="19" spans="1:4" ht="13.5" thickBot="1" x14ac:dyDescent="0.25">
      <c r="A19" s="43">
        <v>45789</v>
      </c>
    </row>
    <row r="20" spans="1:4" ht="15.75" thickBot="1" x14ac:dyDescent="0.25">
      <c r="A20" s="12" t="s">
        <v>266</v>
      </c>
      <c r="B20" s="45">
        <v>108.79</v>
      </c>
      <c r="C20" s="45">
        <v>725.28</v>
      </c>
      <c r="D20" s="45">
        <v>130.54840000000002</v>
      </c>
    </row>
    <row r="21" spans="1:4" ht="15" x14ac:dyDescent="0.2">
      <c r="A21" s="12" t="s">
        <v>265</v>
      </c>
      <c r="B21" s="45">
        <v>55.02</v>
      </c>
      <c r="C21" s="45">
        <v>1100.4000000000001</v>
      </c>
      <c r="D21" s="45">
        <v>88.032000000000011</v>
      </c>
    </row>
    <row r="22" spans="1:4" ht="13.5" thickBot="1" x14ac:dyDescent="0.25"/>
    <row r="23" spans="1:4" ht="13.5" thickBot="1" x14ac:dyDescent="0.25">
      <c r="D23" s="46">
        <v>218.58040000000003</v>
      </c>
    </row>
    <row r="25" spans="1:4" x14ac:dyDescent="0.2">
      <c r="B25" s="42" t="s">
        <v>267</v>
      </c>
      <c r="C25" s="42" t="s">
        <v>268</v>
      </c>
      <c r="D25" s="42" t="s">
        <v>7</v>
      </c>
    </row>
    <row r="26" spans="1:4" ht="15.75" thickBot="1" x14ac:dyDescent="0.3">
      <c r="A26" s="8">
        <v>45796</v>
      </c>
      <c r="B26" s="49"/>
      <c r="C26" s="49"/>
    </row>
    <row r="27" spans="1:4" ht="13.5" thickBot="1" x14ac:dyDescent="0.25">
      <c r="A27" s="43" t="s">
        <v>266</v>
      </c>
      <c r="B27" s="42">
        <v>135.99</v>
      </c>
      <c r="C27" s="42">
        <v>906.6</v>
      </c>
      <c r="D27" s="42">
        <v>163.18800000000002</v>
      </c>
    </row>
    <row r="28" spans="1:4" ht="15.75" thickBot="1" x14ac:dyDescent="0.25">
      <c r="A28" s="12" t="s">
        <v>265</v>
      </c>
      <c r="B28" s="45">
        <v>55.02</v>
      </c>
      <c r="C28" s="45">
        <v>1100.4000000000001</v>
      </c>
      <c r="D28" s="45">
        <v>88.032000000000011</v>
      </c>
    </row>
    <row r="29" spans="1:4" ht="15" x14ac:dyDescent="0.2">
      <c r="A29" s="12"/>
      <c r="B29" s="45"/>
      <c r="C29" s="45"/>
      <c r="D29" s="45"/>
    </row>
    <row r="30" spans="1:4" ht="15.75" thickBot="1" x14ac:dyDescent="0.25">
      <c r="A30" s="12"/>
      <c r="D30" s="42">
        <v>251.22000000000003</v>
      </c>
    </row>
    <row r="31" spans="1:4" ht="13.5" thickBot="1" x14ac:dyDescent="0.25">
      <c r="D31" s="46"/>
    </row>
    <row r="33" spans="1:4" ht="15.75" thickBot="1" x14ac:dyDescent="0.3">
      <c r="A33" s="10"/>
      <c r="B33" s="49" t="s">
        <v>267</v>
      </c>
      <c r="C33" s="49" t="s">
        <v>268</v>
      </c>
      <c r="D33" s="42" t="s">
        <v>7</v>
      </c>
    </row>
    <row r="34" spans="1:4" ht="13.5" thickBot="1" x14ac:dyDescent="0.25">
      <c r="A34" s="43">
        <v>45803</v>
      </c>
    </row>
    <row r="35" spans="1:4" ht="15.75" thickBot="1" x14ac:dyDescent="0.25">
      <c r="A35" s="12" t="s">
        <v>266</v>
      </c>
      <c r="B35" s="45">
        <v>122.39</v>
      </c>
      <c r="C35" s="45">
        <v>815.94</v>
      </c>
      <c r="D35" s="45">
        <v>146.8682</v>
      </c>
    </row>
    <row r="36" spans="1:4" ht="15" x14ac:dyDescent="0.2">
      <c r="A36" s="12" t="s">
        <v>265</v>
      </c>
      <c r="B36" s="45">
        <v>55.02</v>
      </c>
      <c r="C36" s="45">
        <v>1100.4100000000001</v>
      </c>
      <c r="D36" s="45">
        <v>88.032300000000006</v>
      </c>
    </row>
    <row r="37" spans="1:4" ht="12.75" customHeight="1" thickBot="1" x14ac:dyDescent="0.25">
      <c r="A37" s="12"/>
    </row>
    <row r="38" spans="1:4" ht="15.75" thickBot="1" x14ac:dyDescent="0.25">
      <c r="A38" s="12"/>
      <c r="D38" s="46">
        <v>234.90050000000002</v>
      </c>
    </row>
    <row r="40" spans="1:4" ht="15.75" thickBot="1" x14ac:dyDescent="0.3">
      <c r="A40" s="10"/>
      <c r="B40" s="49" t="s">
        <v>267</v>
      </c>
      <c r="C40" s="49" t="s">
        <v>268</v>
      </c>
      <c r="D40" s="42" t="s">
        <v>7</v>
      </c>
    </row>
    <row r="41" spans="1:4" ht="13.5" thickBot="1" x14ac:dyDescent="0.25">
      <c r="A41" s="43" t="s">
        <v>273</v>
      </c>
    </row>
    <row r="42" spans="1:4" ht="15.75" thickBot="1" x14ac:dyDescent="0.25">
      <c r="A42" s="12" t="s">
        <v>266</v>
      </c>
      <c r="B42" s="45"/>
      <c r="C42" s="45"/>
      <c r="D42" s="45">
        <v>0</v>
      </c>
    </row>
    <row r="43" spans="1:4" ht="15" x14ac:dyDescent="0.2">
      <c r="A43" s="12" t="s">
        <v>265</v>
      </c>
      <c r="B43" s="45"/>
      <c r="C43" s="45"/>
      <c r="D43" s="45">
        <v>0</v>
      </c>
    </row>
    <row r="44" spans="1:4" ht="13.5" thickBot="1" x14ac:dyDescent="0.25"/>
    <row r="45" spans="1:4" ht="13.5" thickBot="1" x14ac:dyDescent="0.25">
      <c r="D45" s="46">
        <v>0</v>
      </c>
    </row>
    <row r="46" spans="1:4" x14ac:dyDescent="0.2">
      <c r="B46" s="47"/>
      <c r="C46" s="47"/>
      <c r="D46" s="47"/>
    </row>
    <row r="47" spans="1:4" x14ac:dyDescent="0.2">
      <c r="B47" s="47"/>
      <c r="C47" s="50" t="s">
        <v>269</v>
      </c>
      <c r="D47" s="47">
        <v>955.92090000000007</v>
      </c>
    </row>
    <row r="48" spans="1:4" x14ac:dyDescent="0.2">
      <c r="B48" s="47"/>
      <c r="C48" s="47"/>
      <c r="D48" s="47"/>
    </row>
    <row r="50" spans="2:4" x14ac:dyDescent="0.2">
      <c r="C50" s="8"/>
    </row>
    <row r="51" spans="2:4" ht="56.25" customHeight="1" x14ac:dyDescent="0.2">
      <c r="B51" s="40"/>
      <c r="C51" s="40"/>
      <c r="D51" s="2"/>
    </row>
    <row r="52" spans="2:4" ht="37.5" customHeight="1" x14ac:dyDescent="0.2">
      <c r="B52" s="2"/>
      <c r="C52" s="2"/>
      <c r="D52" s="2"/>
    </row>
  </sheetData>
  <pageMargins left="0.7" right="0.7" top="0.75" bottom="0.75" header="0.3" footer="0.3"/>
  <pageSetup scale="96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5F39-00DD-46C2-AB5A-604C32892239}">
  <sheetPr>
    <pageSetUpPr fitToPage="1"/>
  </sheetPr>
  <dimension ref="A1:D53"/>
  <sheetViews>
    <sheetView zoomScaleNormal="100" workbookViewId="0">
      <selection activeCell="C7" sqref="C7"/>
    </sheetView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</cols>
  <sheetData>
    <row r="1" spans="1:4" ht="13.5" thickBot="1" x14ac:dyDescent="0.25"/>
    <row r="2" spans="1:4" ht="13.5" thickBot="1" x14ac:dyDescent="0.25">
      <c r="A2" s="11" t="s">
        <v>270</v>
      </c>
      <c r="B2" s="43">
        <v>45809</v>
      </c>
    </row>
    <row r="3" spans="1:4" x14ac:dyDescent="0.2">
      <c r="A3" s="11"/>
      <c r="B3" s="44"/>
    </row>
    <row r="4" spans="1:4" x14ac:dyDescent="0.2">
      <c r="D4" s="47"/>
    </row>
    <row r="5" spans="1:4" ht="13.5" thickBot="1" x14ac:dyDescent="0.25">
      <c r="A5" s="10"/>
      <c r="B5" s="44" t="s">
        <v>267</v>
      </c>
      <c r="C5" s="42" t="s">
        <v>268</v>
      </c>
      <c r="D5" s="42" t="s">
        <v>7</v>
      </c>
    </row>
    <row r="6" spans="1:4" ht="13.5" thickBot="1" x14ac:dyDescent="0.25">
      <c r="A6" s="43" t="s">
        <v>276</v>
      </c>
    </row>
    <row r="7" spans="1:4" ht="15.75" thickBot="1" x14ac:dyDescent="0.25">
      <c r="A7" s="12" t="s">
        <v>266</v>
      </c>
      <c r="B7" s="45">
        <v>650.95999999999992</v>
      </c>
      <c r="C7" s="45">
        <v>4340.3500000000004</v>
      </c>
      <c r="D7" s="45">
        <v>748.62090000000001</v>
      </c>
    </row>
    <row r="8" spans="1:4" ht="15" x14ac:dyDescent="0.2">
      <c r="A8" s="12" t="s">
        <v>265</v>
      </c>
      <c r="B8" s="45">
        <v>275.10000000000002</v>
      </c>
      <c r="C8" s="45">
        <v>5502.02</v>
      </c>
      <c r="D8" s="45">
        <v>440.16090000000008</v>
      </c>
    </row>
    <row r="9" spans="1:4" ht="13.5" thickBot="1" x14ac:dyDescent="0.25"/>
    <row r="10" spans="1:4" ht="13.5" thickBot="1" x14ac:dyDescent="0.25">
      <c r="D10" s="48">
        <v>1188.7818000000002</v>
      </c>
    </row>
    <row r="11" spans="1:4" x14ac:dyDescent="0.2">
      <c r="D11" s="47"/>
    </row>
    <row r="12" spans="1:4" ht="13.5" thickBot="1" x14ac:dyDescent="0.25">
      <c r="A12" s="10"/>
      <c r="B12" s="44" t="s">
        <v>267</v>
      </c>
      <c r="C12" s="42" t="s">
        <v>268</v>
      </c>
      <c r="D12" s="42" t="s">
        <v>7</v>
      </c>
    </row>
    <row r="13" spans="1:4" ht="13.5" thickBot="1" x14ac:dyDescent="0.25">
      <c r="A13" s="43">
        <v>45810</v>
      </c>
    </row>
    <row r="14" spans="1:4" ht="15.75" thickBot="1" x14ac:dyDescent="0.25">
      <c r="A14" s="12" t="s">
        <v>266</v>
      </c>
      <c r="B14" s="45">
        <v>135.99</v>
      </c>
      <c r="C14" s="45">
        <v>906.6</v>
      </c>
      <c r="D14" s="45">
        <v>163.18800000000002</v>
      </c>
    </row>
    <row r="15" spans="1:4" ht="15" x14ac:dyDescent="0.2">
      <c r="A15" s="12" t="s">
        <v>265</v>
      </c>
      <c r="B15" s="45">
        <v>55.02</v>
      </c>
      <c r="C15" s="45">
        <v>1100.4100000000001</v>
      </c>
      <c r="D15" s="45">
        <v>88.032300000000006</v>
      </c>
    </row>
    <row r="16" spans="1:4" ht="13.5" thickBot="1" x14ac:dyDescent="0.25"/>
    <row r="17" spans="1:4" ht="13.5" thickBot="1" x14ac:dyDescent="0.25">
      <c r="D17" s="48">
        <v>251.22030000000001</v>
      </c>
    </row>
    <row r="19" spans="1:4" ht="15.75" thickBot="1" x14ac:dyDescent="0.3">
      <c r="A19" s="10"/>
      <c r="B19" s="49" t="s">
        <v>267</v>
      </c>
      <c r="C19" s="49" t="s">
        <v>268</v>
      </c>
      <c r="D19" s="42" t="s">
        <v>7</v>
      </c>
    </row>
    <row r="20" spans="1:4" ht="13.5" thickBot="1" x14ac:dyDescent="0.25">
      <c r="A20" s="43">
        <v>45817</v>
      </c>
    </row>
    <row r="21" spans="1:4" ht="15.75" thickBot="1" x14ac:dyDescent="0.25">
      <c r="A21" s="12" t="s">
        <v>266</v>
      </c>
      <c r="B21" s="45">
        <v>134.29</v>
      </c>
      <c r="C21" s="45">
        <v>895.27</v>
      </c>
      <c r="D21" s="45">
        <v>161.1481</v>
      </c>
    </row>
    <row r="22" spans="1:4" ht="15" x14ac:dyDescent="0.2">
      <c r="A22" s="12" t="s">
        <v>265</v>
      </c>
      <c r="B22" s="45">
        <v>55.02</v>
      </c>
      <c r="C22" s="45">
        <v>1100.4000000000001</v>
      </c>
      <c r="D22" s="45">
        <v>88.032000000000011</v>
      </c>
    </row>
    <row r="23" spans="1:4" ht="13.5" thickBot="1" x14ac:dyDescent="0.25"/>
    <row r="24" spans="1:4" ht="13.5" thickBot="1" x14ac:dyDescent="0.25">
      <c r="D24" s="46">
        <v>249.18010000000001</v>
      </c>
    </row>
    <row r="27" spans="1:4" ht="15.75" thickBot="1" x14ac:dyDescent="0.3">
      <c r="B27" s="49" t="s">
        <v>267</v>
      </c>
      <c r="C27" s="49" t="s">
        <v>268</v>
      </c>
      <c r="D27" s="42" t="s">
        <v>7</v>
      </c>
    </row>
    <row r="28" spans="1:4" ht="13.5" thickBot="1" x14ac:dyDescent="0.25">
      <c r="A28" s="43">
        <v>45824</v>
      </c>
    </row>
    <row r="29" spans="1:4" ht="15.75" thickBot="1" x14ac:dyDescent="0.25">
      <c r="A29" s="12" t="s">
        <v>266</v>
      </c>
      <c r="B29" s="45">
        <v>135.99</v>
      </c>
      <c r="C29" s="45">
        <v>906.6</v>
      </c>
      <c r="D29" s="45">
        <v>163.18800000000002</v>
      </c>
    </row>
    <row r="30" spans="1:4" ht="15" x14ac:dyDescent="0.2">
      <c r="A30" s="12" t="s">
        <v>265</v>
      </c>
      <c r="B30" s="45">
        <v>55.02</v>
      </c>
      <c r="C30" s="45">
        <v>1100.4000000000001</v>
      </c>
      <c r="D30" s="45">
        <v>88.032000000000011</v>
      </c>
    </row>
    <row r="31" spans="1:4" ht="15.75" thickBot="1" x14ac:dyDescent="0.25">
      <c r="A31" s="12"/>
    </row>
    <row r="32" spans="1:4" ht="13.5" thickBot="1" x14ac:dyDescent="0.25">
      <c r="D32" s="46">
        <v>251.22000000000003</v>
      </c>
    </row>
    <row r="34" spans="1:4" ht="15.75" thickBot="1" x14ac:dyDescent="0.3">
      <c r="A34" s="10"/>
      <c r="B34" s="49" t="s">
        <v>267</v>
      </c>
      <c r="C34" s="49" t="s">
        <v>268</v>
      </c>
      <c r="D34" s="42" t="s">
        <v>7</v>
      </c>
    </row>
    <row r="35" spans="1:4" ht="13.5" thickBot="1" x14ac:dyDescent="0.25">
      <c r="A35" s="43">
        <v>45831</v>
      </c>
    </row>
    <row r="36" spans="1:4" ht="15.75" thickBot="1" x14ac:dyDescent="0.25">
      <c r="A36" s="12" t="s">
        <v>266</v>
      </c>
      <c r="B36" s="45">
        <v>108.79</v>
      </c>
      <c r="C36" s="45">
        <v>725.28</v>
      </c>
      <c r="D36" s="45">
        <v>130.54840000000002</v>
      </c>
    </row>
    <row r="37" spans="1:4" ht="15" x14ac:dyDescent="0.2">
      <c r="A37" s="12" t="s">
        <v>265</v>
      </c>
      <c r="B37" s="45">
        <v>55.02</v>
      </c>
      <c r="C37" s="45">
        <v>1100.4100000000001</v>
      </c>
      <c r="D37" s="45">
        <v>88.032300000000006</v>
      </c>
    </row>
    <row r="38" spans="1:4" ht="12.75" customHeight="1" thickBot="1" x14ac:dyDescent="0.25">
      <c r="A38" s="12"/>
    </row>
    <row r="39" spans="1:4" ht="15.75" thickBot="1" x14ac:dyDescent="0.25">
      <c r="A39" s="12"/>
      <c r="D39" s="46">
        <v>218.58070000000004</v>
      </c>
    </row>
    <row r="41" spans="1:4" ht="15.75" thickBot="1" x14ac:dyDescent="0.3">
      <c r="A41" s="10"/>
      <c r="B41" s="49" t="s">
        <v>267</v>
      </c>
      <c r="C41" s="49" t="s">
        <v>268</v>
      </c>
      <c r="D41" s="42" t="s">
        <v>7</v>
      </c>
    </row>
    <row r="42" spans="1:4" ht="13.5" thickBot="1" x14ac:dyDescent="0.25">
      <c r="A42" s="43">
        <v>45838</v>
      </c>
    </row>
    <row r="43" spans="1:4" ht="15.75" thickBot="1" x14ac:dyDescent="0.25">
      <c r="A43" s="12" t="s">
        <v>266</v>
      </c>
      <c r="B43" s="45">
        <v>135.9</v>
      </c>
      <c r="C43" s="45">
        <v>906.6</v>
      </c>
      <c r="D43" s="45">
        <v>130.54840000000002</v>
      </c>
    </row>
    <row r="44" spans="1:4" ht="15" x14ac:dyDescent="0.2">
      <c r="A44" s="12" t="s">
        <v>265</v>
      </c>
      <c r="B44" s="45">
        <v>55.02</v>
      </c>
      <c r="C44" s="45">
        <v>1100.4000000000001</v>
      </c>
      <c r="D44" s="45">
        <v>88.032300000000006</v>
      </c>
    </row>
    <row r="45" spans="1:4" ht="13.5" thickBot="1" x14ac:dyDescent="0.25"/>
    <row r="46" spans="1:4" ht="13.5" thickBot="1" x14ac:dyDescent="0.25">
      <c r="D46" s="46">
        <v>218.58070000000004</v>
      </c>
    </row>
    <row r="47" spans="1:4" x14ac:dyDescent="0.2">
      <c r="B47" s="47"/>
      <c r="C47" s="47"/>
      <c r="D47" s="47"/>
    </row>
    <row r="48" spans="1:4" x14ac:dyDescent="0.2">
      <c r="B48" s="47"/>
      <c r="C48" s="50" t="s">
        <v>275</v>
      </c>
      <c r="D48" s="47">
        <v>1188.7818000000002</v>
      </c>
    </row>
    <row r="49" spans="2:4" x14ac:dyDescent="0.2">
      <c r="B49" s="47"/>
      <c r="C49" s="47"/>
      <c r="D49" s="47"/>
    </row>
    <row r="51" spans="2:4" x14ac:dyDescent="0.2">
      <c r="C51" s="8"/>
    </row>
    <row r="52" spans="2:4" ht="56.25" customHeight="1" x14ac:dyDescent="0.2">
      <c r="B52" s="40"/>
      <c r="C52" s="40" t="e" vm="1">
        <v>#VALUE!</v>
      </c>
      <c r="D52" s="2"/>
    </row>
    <row r="53" spans="2:4" ht="37.5" customHeight="1" x14ac:dyDescent="0.2">
      <c r="B53" s="2"/>
      <c r="C53" s="2"/>
      <c r="D53" s="2"/>
    </row>
  </sheetData>
  <pageMargins left="0.7" right="0.7" top="0.75" bottom="0.75" header="0.3" footer="0.3"/>
  <pageSetup scale="90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70D7-E8E2-4C4B-BA5D-A2000A2724A5}">
  <sheetPr>
    <pageSetUpPr fitToPage="1"/>
  </sheetPr>
  <dimension ref="A1:D53"/>
  <sheetViews>
    <sheetView workbookViewId="0">
      <selection activeCell="D7" sqref="D7:D10"/>
    </sheetView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</cols>
  <sheetData>
    <row r="1" spans="1:4" ht="13.5" thickBot="1" x14ac:dyDescent="0.25"/>
    <row r="2" spans="1:4" ht="13.5" thickBot="1" x14ac:dyDescent="0.25">
      <c r="A2" s="11" t="s">
        <v>270</v>
      </c>
      <c r="B2" s="43">
        <v>45839</v>
      </c>
    </row>
    <row r="3" spans="1:4" x14ac:dyDescent="0.2">
      <c r="A3" s="11"/>
      <c r="B3" s="44"/>
    </row>
    <row r="4" spans="1:4" x14ac:dyDescent="0.2">
      <c r="D4" s="47"/>
    </row>
    <row r="5" spans="1:4" ht="13.5" thickBot="1" x14ac:dyDescent="0.25">
      <c r="A5" s="10"/>
      <c r="B5" s="44" t="s">
        <v>267</v>
      </c>
      <c r="C5" s="42" t="s">
        <v>268</v>
      </c>
      <c r="D5" s="42" t="s">
        <v>7</v>
      </c>
    </row>
    <row r="6" spans="1:4" ht="13.5" thickBot="1" x14ac:dyDescent="0.25">
      <c r="A6" s="43" t="s">
        <v>276</v>
      </c>
    </row>
    <row r="7" spans="1:4" ht="15.75" thickBot="1" x14ac:dyDescent="0.25">
      <c r="A7" s="12" t="s">
        <v>266</v>
      </c>
      <c r="B7" s="45">
        <v>551.42000000000007</v>
      </c>
      <c r="C7" s="45">
        <v>3676.1600000000003</v>
      </c>
      <c r="D7" s="45">
        <v>792.25320000000011</v>
      </c>
    </row>
    <row r="8" spans="1:4" ht="15" x14ac:dyDescent="0.2">
      <c r="A8" s="12" t="s">
        <v>265</v>
      </c>
      <c r="B8" s="45">
        <v>224.67000000000002</v>
      </c>
      <c r="C8" s="45">
        <v>4493.34</v>
      </c>
      <c r="D8" s="45">
        <v>447.5025</v>
      </c>
    </row>
    <row r="9" spans="1:4" ht="13.5" thickBot="1" x14ac:dyDescent="0.25"/>
    <row r="10" spans="1:4" ht="13.5" thickBot="1" x14ac:dyDescent="0.25">
      <c r="D10" s="48">
        <v>1239.7557000000002</v>
      </c>
    </row>
    <row r="11" spans="1:4" x14ac:dyDescent="0.2">
      <c r="D11" s="47"/>
    </row>
    <row r="12" spans="1:4" ht="13.5" thickBot="1" x14ac:dyDescent="0.25">
      <c r="A12" s="10"/>
      <c r="B12" s="44" t="s">
        <v>267</v>
      </c>
      <c r="C12" s="42" t="s">
        <v>268</v>
      </c>
      <c r="D12" s="42" t="s">
        <v>7</v>
      </c>
    </row>
    <row r="13" spans="1:4" ht="13.5" thickBot="1" x14ac:dyDescent="0.25">
      <c r="A13" s="43">
        <v>45845</v>
      </c>
    </row>
    <row r="14" spans="1:4" ht="15.75" thickBot="1" x14ac:dyDescent="0.25">
      <c r="A14" s="12" t="s">
        <v>266</v>
      </c>
      <c r="B14" s="45">
        <v>140.49</v>
      </c>
      <c r="C14" s="45">
        <v>936.6</v>
      </c>
      <c r="D14" s="45">
        <v>168.58800000000002</v>
      </c>
    </row>
    <row r="15" spans="1:4" ht="15" x14ac:dyDescent="0.2">
      <c r="A15" s="12" t="s">
        <v>265</v>
      </c>
      <c r="B15" s="45">
        <v>56.52</v>
      </c>
      <c r="C15" s="45">
        <v>1130.4000000000001</v>
      </c>
      <c r="D15" s="45">
        <v>90.432000000000002</v>
      </c>
    </row>
    <row r="16" spans="1:4" ht="13.5" thickBot="1" x14ac:dyDescent="0.25"/>
    <row r="17" spans="1:4" ht="13.5" thickBot="1" x14ac:dyDescent="0.25">
      <c r="D17" s="48">
        <v>259.02000000000004</v>
      </c>
    </row>
    <row r="19" spans="1:4" ht="15.75" thickBot="1" x14ac:dyDescent="0.3">
      <c r="A19" s="10"/>
      <c r="B19" s="49" t="s">
        <v>267</v>
      </c>
      <c r="C19" s="49" t="s">
        <v>268</v>
      </c>
      <c r="D19" s="42" t="s">
        <v>7</v>
      </c>
    </row>
    <row r="20" spans="1:4" ht="13.5" thickBot="1" x14ac:dyDescent="0.25">
      <c r="A20" s="43">
        <v>45852</v>
      </c>
    </row>
    <row r="21" spans="1:4" ht="15.75" thickBot="1" x14ac:dyDescent="0.25">
      <c r="A21" s="12" t="s">
        <v>266</v>
      </c>
      <c r="B21" s="45">
        <v>140.49</v>
      </c>
      <c r="C21" s="45">
        <v>936.6</v>
      </c>
      <c r="D21" s="45">
        <v>168.58800000000002</v>
      </c>
    </row>
    <row r="22" spans="1:4" ht="15" x14ac:dyDescent="0.2">
      <c r="A22" s="12" t="s">
        <v>265</v>
      </c>
      <c r="B22" s="45">
        <v>56.52</v>
      </c>
      <c r="C22" s="45">
        <v>1130.4000000000001</v>
      </c>
      <c r="D22" s="45">
        <v>90.432000000000002</v>
      </c>
    </row>
    <row r="23" spans="1:4" ht="13.5" thickBot="1" x14ac:dyDescent="0.25"/>
    <row r="24" spans="1:4" ht="13.5" thickBot="1" x14ac:dyDescent="0.25">
      <c r="D24" s="46">
        <v>259.02000000000004</v>
      </c>
    </row>
    <row r="27" spans="1:4" ht="15.75" thickBot="1" x14ac:dyDescent="0.3">
      <c r="B27" s="49" t="s">
        <v>267</v>
      </c>
      <c r="C27" s="49" t="s">
        <v>268</v>
      </c>
      <c r="D27" s="42" t="s">
        <v>7</v>
      </c>
    </row>
    <row r="28" spans="1:4" ht="13.5" thickBot="1" x14ac:dyDescent="0.25">
      <c r="A28" s="43">
        <v>45859</v>
      </c>
    </row>
    <row r="29" spans="1:4" ht="15.75" thickBot="1" x14ac:dyDescent="0.25">
      <c r="A29" s="12" t="s">
        <v>266</v>
      </c>
      <c r="B29" s="45">
        <v>140.49</v>
      </c>
      <c r="C29" s="45">
        <v>936.6</v>
      </c>
      <c r="D29" s="45">
        <v>168.58800000000002</v>
      </c>
    </row>
    <row r="30" spans="1:4" ht="15" x14ac:dyDescent="0.2">
      <c r="A30" s="12" t="s">
        <v>265</v>
      </c>
      <c r="B30" s="45">
        <v>56.52</v>
      </c>
      <c r="C30" s="45">
        <v>1130.4000000000001</v>
      </c>
      <c r="D30" s="45">
        <v>90.432000000000002</v>
      </c>
    </row>
    <row r="31" spans="1:4" ht="15.75" thickBot="1" x14ac:dyDescent="0.25">
      <c r="A31" s="12"/>
    </row>
    <row r="32" spans="1:4" ht="13.5" thickBot="1" x14ac:dyDescent="0.25">
      <c r="D32" s="46">
        <v>259.02000000000004</v>
      </c>
    </row>
    <row r="34" spans="1:4" ht="15.75" thickBot="1" x14ac:dyDescent="0.3">
      <c r="A34" s="10"/>
      <c r="B34" s="49" t="s">
        <v>267</v>
      </c>
      <c r="C34" s="49" t="s">
        <v>268</v>
      </c>
      <c r="D34" s="42" t="s">
        <v>7</v>
      </c>
    </row>
    <row r="35" spans="1:4" ht="13.5" thickBot="1" x14ac:dyDescent="0.25">
      <c r="A35" s="43">
        <v>45866</v>
      </c>
    </row>
    <row r="36" spans="1:4" ht="15.75" thickBot="1" x14ac:dyDescent="0.25">
      <c r="A36" s="12" t="s">
        <v>266</v>
      </c>
      <c r="B36" s="45">
        <v>129.94999999999999</v>
      </c>
      <c r="C36" s="45">
        <v>866.36</v>
      </c>
      <c r="D36" s="45">
        <v>155.9408</v>
      </c>
    </row>
    <row r="37" spans="1:4" ht="15" x14ac:dyDescent="0.2">
      <c r="A37" s="12" t="s">
        <v>265</v>
      </c>
      <c r="B37" s="45">
        <v>55.11</v>
      </c>
      <c r="C37" s="45">
        <v>1102.1400000000001</v>
      </c>
      <c r="D37" s="45">
        <v>88.174199999999999</v>
      </c>
    </row>
    <row r="38" spans="1:4" ht="12.75" customHeight="1" thickBot="1" x14ac:dyDescent="0.25">
      <c r="A38" s="12"/>
    </row>
    <row r="39" spans="1:4" ht="15.75" thickBot="1" x14ac:dyDescent="0.25">
      <c r="A39" s="12"/>
      <c r="D39" s="46">
        <v>244.11500000000001</v>
      </c>
    </row>
    <row r="41" spans="1:4" ht="15.75" thickBot="1" x14ac:dyDescent="0.3">
      <c r="A41" s="10"/>
      <c r="B41" s="49" t="s">
        <v>267</v>
      </c>
      <c r="C41" s="49" t="s">
        <v>268</v>
      </c>
      <c r="D41" s="42" t="s">
        <v>7</v>
      </c>
    </row>
    <row r="42" spans="1:4" ht="13.5" thickBot="1" x14ac:dyDescent="0.25">
      <c r="A42" s="43" t="s">
        <v>273</v>
      </c>
    </row>
    <row r="43" spans="1:4" ht="15.75" thickBot="1" x14ac:dyDescent="0.25">
      <c r="A43" s="12" t="s">
        <v>266</v>
      </c>
      <c r="B43" s="45">
        <v>135.9</v>
      </c>
      <c r="C43" s="45">
        <v>906.6</v>
      </c>
      <c r="D43" s="45">
        <v>130.54840000000002</v>
      </c>
    </row>
    <row r="44" spans="1:4" ht="15" x14ac:dyDescent="0.2">
      <c r="A44" s="12" t="s">
        <v>265</v>
      </c>
      <c r="B44" s="45">
        <v>55.02</v>
      </c>
      <c r="C44" s="45">
        <v>1100.4000000000001</v>
      </c>
      <c r="D44" s="45">
        <v>88.032300000000006</v>
      </c>
    </row>
    <row r="45" spans="1:4" ht="13.5" thickBot="1" x14ac:dyDescent="0.25"/>
    <row r="46" spans="1:4" ht="13.5" thickBot="1" x14ac:dyDescent="0.25">
      <c r="D46" s="46">
        <v>218.58070000000004</v>
      </c>
    </row>
    <row r="47" spans="1:4" x14ac:dyDescent="0.2">
      <c r="B47" s="47"/>
      <c r="C47" s="47"/>
      <c r="D47" s="47"/>
    </row>
    <row r="48" spans="1:4" x14ac:dyDescent="0.2">
      <c r="B48" s="47"/>
      <c r="C48" s="50" t="s">
        <v>275</v>
      </c>
      <c r="D48" s="47">
        <v>1239.7557000000002</v>
      </c>
    </row>
    <row r="49" spans="2:4" x14ac:dyDescent="0.2">
      <c r="B49" s="47"/>
      <c r="C49" s="47"/>
      <c r="D49" s="47"/>
    </row>
    <row r="51" spans="2:4" x14ac:dyDescent="0.2">
      <c r="C51" s="8"/>
    </row>
    <row r="52" spans="2:4" ht="56.25" customHeight="1" x14ac:dyDescent="0.2">
      <c r="B52" s="40"/>
      <c r="C52" s="40" t="e" vm="1">
        <v>#VALUE!</v>
      </c>
      <c r="D52" s="2"/>
    </row>
    <row r="53" spans="2:4" ht="37.5" customHeight="1" x14ac:dyDescent="0.2">
      <c r="B53" s="2"/>
      <c r="C53" s="2"/>
      <c r="D53" s="2"/>
    </row>
  </sheetData>
  <pageMargins left="0.7" right="0.7" top="0.75" bottom="0.75" header="0.3" footer="0.3"/>
  <pageSetup scale="90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8B6C-B720-4A09-9938-D0559A5CAEE7}">
  <sheetPr>
    <pageSetUpPr fitToPage="1"/>
  </sheetPr>
  <dimension ref="A1:D53"/>
  <sheetViews>
    <sheetView workbookViewId="0">
      <selection activeCell="D7" sqref="D7:D10"/>
    </sheetView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</cols>
  <sheetData>
    <row r="1" spans="1:4" ht="13.5" thickBot="1" x14ac:dyDescent="0.25"/>
    <row r="2" spans="1:4" ht="13.5" thickBot="1" x14ac:dyDescent="0.25">
      <c r="A2" s="11" t="s">
        <v>270</v>
      </c>
      <c r="B2" s="43">
        <v>45870</v>
      </c>
    </row>
    <row r="3" spans="1:4" x14ac:dyDescent="0.2">
      <c r="A3" s="11"/>
      <c r="B3" s="44"/>
    </row>
    <row r="4" spans="1:4" x14ac:dyDescent="0.2">
      <c r="D4" s="47"/>
    </row>
    <row r="5" spans="1:4" ht="13.5" thickBot="1" x14ac:dyDescent="0.25">
      <c r="A5" s="10"/>
      <c r="B5" s="44" t="s">
        <v>267</v>
      </c>
      <c r="C5" s="42" t="s">
        <v>268</v>
      </c>
      <c r="D5" s="42" t="s">
        <v>7</v>
      </c>
    </row>
    <row r="6" spans="1:4" ht="13.5" thickBot="1" x14ac:dyDescent="0.25">
      <c r="A6" s="43" t="s">
        <v>276</v>
      </c>
    </row>
    <row r="7" spans="1:4" ht="15.75" thickBot="1" x14ac:dyDescent="0.25">
      <c r="A7" s="12" t="s">
        <v>266</v>
      </c>
      <c r="B7" s="45">
        <v>561.96</v>
      </c>
      <c r="C7" s="45">
        <v>3746.4</v>
      </c>
      <c r="D7" s="45">
        <v>804.9004000000001</v>
      </c>
    </row>
    <row r="8" spans="1:4" ht="15" x14ac:dyDescent="0.2">
      <c r="A8" s="12" t="s">
        <v>265</v>
      </c>
      <c r="B8" s="45">
        <v>197.11</v>
      </c>
      <c r="C8" s="45">
        <v>3942.27</v>
      </c>
      <c r="D8" s="45">
        <v>403.41040000000004</v>
      </c>
    </row>
    <row r="9" spans="1:4" ht="13.5" thickBot="1" x14ac:dyDescent="0.25"/>
    <row r="10" spans="1:4" ht="13.5" thickBot="1" x14ac:dyDescent="0.25">
      <c r="D10" s="48">
        <v>1208.3108000000002</v>
      </c>
    </row>
    <row r="11" spans="1:4" x14ac:dyDescent="0.2">
      <c r="D11" s="47"/>
    </row>
    <row r="12" spans="1:4" ht="13.5" thickBot="1" x14ac:dyDescent="0.25">
      <c r="A12" s="10"/>
      <c r="B12" s="44" t="s">
        <v>267</v>
      </c>
      <c r="C12" s="42" t="s">
        <v>268</v>
      </c>
      <c r="D12" s="42" t="s">
        <v>7</v>
      </c>
    </row>
    <row r="13" spans="1:4" ht="13.5" thickBot="1" x14ac:dyDescent="0.25">
      <c r="A13" s="43">
        <v>45873</v>
      </c>
    </row>
    <row r="14" spans="1:4" ht="15.75" thickBot="1" x14ac:dyDescent="0.25">
      <c r="A14" s="12" t="s">
        <v>266</v>
      </c>
      <c r="B14" s="45">
        <v>140.49</v>
      </c>
      <c r="C14" s="45">
        <v>936.6</v>
      </c>
      <c r="D14" s="45">
        <v>168.58800000000002</v>
      </c>
    </row>
    <row r="15" spans="1:4" ht="15" x14ac:dyDescent="0.2">
      <c r="A15" s="12" t="s">
        <v>265</v>
      </c>
      <c r="B15" s="45">
        <v>56.52</v>
      </c>
      <c r="C15" s="45">
        <v>1130.4000000000001</v>
      </c>
      <c r="D15" s="45">
        <v>90.432000000000002</v>
      </c>
    </row>
    <row r="16" spans="1:4" ht="13.5" thickBot="1" x14ac:dyDescent="0.25"/>
    <row r="17" spans="1:4" ht="13.5" thickBot="1" x14ac:dyDescent="0.25">
      <c r="D17" s="48">
        <v>259.02000000000004</v>
      </c>
    </row>
    <row r="19" spans="1:4" ht="15.75" thickBot="1" x14ac:dyDescent="0.3">
      <c r="A19" s="10"/>
      <c r="B19" s="49" t="s">
        <v>267</v>
      </c>
      <c r="C19" s="49" t="s">
        <v>268</v>
      </c>
      <c r="D19" s="42" t="s">
        <v>7</v>
      </c>
    </row>
    <row r="20" spans="1:4" ht="13.5" thickBot="1" x14ac:dyDescent="0.25">
      <c r="A20" s="43">
        <v>45880</v>
      </c>
    </row>
    <row r="21" spans="1:4" ht="15.75" thickBot="1" x14ac:dyDescent="0.25">
      <c r="A21" s="12" t="s">
        <v>266</v>
      </c>
      <c r="B21" s="45">
        <v>140.49</v>
      </c>
      <c r="C21" s="45">
        <v>936.6</v>
      </c>
      <c r="D21" s="45">
        <v>168.58800000000002</v>
      </c>
    </row>
    <row r="22" spans="1:4" ht="15" x14ac:dyDescent="0.2">
      <c r="A22" s="12" t="s">
        <v>265</v>
      </c>
      <c r="B22" s="45">
        <v>39.56</v>
      </c>
      <c r="C22" s="45">
        <v>791.28</v>
      </c>
      <c r="D22" s="45">
        <v>63.298400000000001</v>
      </c>
    </row>
    <row r="23" spans="1:4" ht="13.5" thickBot="1" x14ac:dyDescent="0.25"/>
    <row r="24" spans="1:4" ht="13.5" thickBot="1" x14ac:dyDescent="0.25">
      <c r="D24" s="46">
        <v>231.88640000000004</v>
      </c>
    </row>
    <row r="27" spans="1:4" ht="15.75" thickBot="1" x14ac:dyDescent="0.3">
      <c r="B27" s="49" t="s">
        <v>267</v>
      </c>
      <c r="C27" s="49" t="s">
        <v>268</v>
      </c>
      <c r="D27" s="42" t="s">
        <v>7</v>
      </c>
    </row>
    <row r="28" spans="1:4" ht="13.5" thickBot="1" x14ac:dyDescent="0.25">
      <c r="A28" s="43">
        <v>45887</v>
      </c>
    </row>
    <row r="29" spans="1:4" ht="15.75" thickBot="1" x14ac:dyDescent="0.25">
      <c r="A29" s="12" t="s">
        <v>266</v>
      </c>
      <c r="B29" s="45">
        <v>140.49</v>
      </c>
      <c r="C29" s="45">
        <v>936.6</v>
      </c>
      <c r="D29" s="45">
        <v>168.58800000000002</v>
      </c>
    </row>
    <row r="30" spans="1:4" ht="15" x14ac:dyDescent="0.2">
      <c r="A30" s="12" t="s">
        <v>265</v>
      </c>
      <c r="B30" s="45">
        <v>44.51</v>
      </c>
      <c r="C30" s="45">
        <v>890.19</v>
      </c>
      <c r="D30" s="45">
        <v>71.215699999999998</v>
      </c>
    </row>
    <row r="31" spans="1:4" ht="15.75" thickBot="1" x14ac:dyDescent="0.25">
      <c r="A31" s="12"/>
    </row>
    <row r="32" spans="1:4" ht="13.5" thickBot="1" x14ac:dyDescent="0.25">
      <c r="D32" s="46">
        <v>239.80370000000002</v>
      </c>
    </row>
    <row r="34" spans="1:4" ht="15.75" thickBot="1" x14ac:dyDescent="0.3">
      <c r="A34" s="10"/>
      <c r="B34" s="49" t="s">
        <v>267</v>
      </c>
      <c r="C34" s="49" t="s">
        <v>268</v>
      </c>
      <c r="D34" s="42" t="s">
        <v>7</v>
      </c>
    </row>
    <row r="35" spans="1:4" ht="13.5" thickBot="1" x14ac:dyDescent="0.25">
      <c r="A35" s="43">
        <v>45894</v>
      </c>
    </row>
    <row r="36" spans="1:4" ht="15.75" thickBot="1" x14ac:dyDescent="0.25">
      <c r="A36" s="12" t="s">
        <v>266</v>
      </c>
      <c r="B36" s="45">
        <v>140.49</v>
      </c>
      <c r="C36" s="45">
        <v>936.6</v>
      </c>
      <c r="D36" s="45">
        <v>168.58800000000002</v>
      </c>
    </row>
    <row r="37" spans="1:4" ht="15" x14ac:dyDescent="0.2">
      <c r="A37" s="12" t="s">
        <v>265</v>
      </c>
      <c r="B37" s="45">
        <v>56.52</v>
      </c>
      <c r="C37" s="45">
        <v>1130.4000000000001</v>
      </c>
      <c r="D37" s="45">
        <v>90.432000000000002</v>
      </c>
    </row>
    <row r="38" spans="1:4" ht="12.75" customHeight="1" thickBot="1" x14ac:dyDescent="0.25">
      <c r="A38" s="12"/>
    </row>
    <row r="39" spans="1:4" ht="15.75" thickBot="1" x14ac:dyDescent="0.25">
      <c r="A39" s="12"/>
      <c r="D39" s="46">
        <v>259.02000000000004</v>
      </c>
    </row>
    <row r="41" spans="1:4" ht="15.75" thickBot="1" x14ac:dyDescent="0.3">
      <c r="A41" s="10"/>
      <c r="B41" s="49" t="s">
        <v>267</v>
      </c>
      <c r="C41" s="49" t="s">
        <v>268</v>
      </c>
      <c r="D41" s="42" t="s">
        <v>7</v>
      </c>
    </row>
    <row r="42" spans="1:4" ht="13.5" thickBot="1" x14ac:dyDescent="0.25">
      <c r="A42" s="43" t="s">
        <v>273</v>
      </c>
    </row>
    <row r="43" spans="1:4" ht="15.75" thickBot="1" x14ac:dyDescent="0.25">
      <c r="A43" s="12" t="s">
        <v>266</v>
      </c>
      <c r="B43" s="45">
        <v>135.9</v>
      </c>
      <c r="C43" s="45">
        <v>906.6</v>
      </c>
      <c r="D43" s="45">
        <v>130.54840000000002</v>
      </c>
    </row>
    <row r="44" spans="1:4" ht="15" x14ac:dyDescent="0.2">
      <c r="A44" s="12" t="s">
        <v>265</v>
      </c>
      <c r="B44" s="45">
        <v>55.02</v>
      </c>
      <c r="C44" s="45">
        <v>1100.4000000000001</v>
      </c>
      <c r="D44" s="45">
        <v>88.032300000000006</v>
      </c>
    </row>
    <row r="45" spans="1:4" ht="13.5" thickBot="1" x14ac:dyDescent="0.25"/>
    <row r="46" spans="1:4" ht="13.5" thickBot="1" x14ac:dyDescent="0.25">
      <c r="D46" s="46">
        <v>218.58070000000004</v>
      </c>
    </row>
    <row r="47" spans="1:4" x14ac:dyDescent="0.2">
      <c r="B47" s="47"/>
      <c r="C47" s="47"/>
      <c r="D47" s="47"/>
    </row>
    <row r="48" spans="1:4" x14ac:dyDescent="0.2">
      <c r="B48" s="47"/>
      <c r="C48" s="50" t="s">
        <v>275</v>
      </c>
      <c r="D48" s="47">
        <v>1208.3108000000002</v>
      </c>
    </row>
    <row r="49" spans="2:4" x14ac:dyDescent="0.2">
      <c r="B49" s="47"/>
      <c r="C49" s="47"/>
      <c r="D49" s="47"/>
    </row>
    <row r="51" spans="2:4" x14ac:dyDescent="0.2">
      <c r="C51" s="8"/>
    </row>
    <row r="52" spans="2:4" ht="56.25" customHeight="1" x14ac:dyDescent="0.2">
      <c r="B52" s="40"/>
      <c r="C52" s="52" t="s">
        <v>281</v>
      </c>
      <c r="D52" s="2"/>
    </row>
    <row r="53" spans="2:4" ht="37.5" customHeight="1" x14ac:dyDescent="0.2">
      <c r="B53" s="2"/>
      <c r="C53" s="2"/>
      <c r="D53" s="2"/>
    </row>
  </sheetData>
  <pageMargins left="0.7" right="0.7" top="0.75" bottom="0.75" header="0.3" footer="0.3"/>
  <pageSetup scale="90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56DE-81A1-46C7-A15E-7E4DF74323C5}">
  <sheetPr>
    <pageSetUpPr fitToPage="1"/>
  </sheetPr>
  <dimension ref="A1:D53"/>
  <sheetViews>
    <sheetView workbookViewId="0">
      <selection activeCell="B7" sqref="B7"/>
    </sheetView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</cols>
  <sheetData>
    <row r="1" spans="1:4" ht="13.5" thickBot="1" x14ac:dyDescent="0.25"/>
    <row r="2" spans="1:4" ht="13.5" thickBot="1" x14ac:dyDescent="0.25">
      <c r="A2" s="11" t="s">
        <v>270</v>
      </c>
      <c r="B2" s="43">
        <v>45901</v>
      </c>
    </row>
    <row r="3" spans="1:4" x14ac:dyDescent="0.2">
      <c r="A3" s="11"/>
      <c r="B3" s="44"/>
    </row>
    <row r="4" spans="1:4" x14ac:dyDescent="0.2">
      <c r="D4" s="47"/>
    </row>
    <row r="5" spans="1:4" ht="13.5" thickBot="1" x14ac:dyDescent="0.25">
      <c r="A5" s="10"/>
      <c r="B5" s="44" t="s">
        <v>267</v>
      </c>
      <c r="C5" s="42" t="s">
        <v>268</v>
      </c>
      <c r="D5" s="42" t="s">
        <v>7</v>
      </c>
    </row>
    <row r="6" spans="1:4" ht="13.5" thickBot="1" x14ac:dyDescent="0.25">
      <c r="A6" s="43" t="s">
        <v>276</v>
      </c>
    </row>
    <row r="7" spans="1:4" ht="15.75" thickBot="1" x14ac:dyDescent="0.25">
      <c r="A7" s="12" t="s">
        <v>266</v>
      </c>
      <c r="B7" s="45">
        <f>B14+B21+B29+B36+B43</f>
        <v>702.45</v>
      </c>
      <c r="C7" s="45">
        <f>C14+C21+C29+C36+C43</f>
        <v>126.1</v>
      </c>
      <c r="D7" s="45">
        <f>SUM(B7:C7)</f>
        <v>828.55000000000007</v>
      </c>
    </row>
    <row r="8" spans="1:4" ht="15" x14ac:dyDescent="0.2">
      <c r="A8" s="12" t="s">
        <v>265</v>
      </c>
      <c r="B8" s="45">
        <f>B15+B22+B30+B37+B44</f>
        <v>282.60000000000002</v>
      </c>
      <c r="C8" s="45">
        <f>C15+C22+C30+C37+C44</f>
        <v>155.14000000000001</v>
      </c>
      <c r="D8" s="45">
        <f>SUM(B8:C8)</f>
        <v>437.74</v>
      </c>
    </row>
    <row r="9" spans="1:4" ht="13.5" thickBot="1" x14ac:dyDescent="0.25"/>
    <row r="10" spans="1:4" ht="13.5" thickBot="1" x14ac:dyDescent="0.25">
      <c r="D10" s="48">
        <f>SUM(D7:D9)</f>
        <v>1266.29</v>
      </c>
    </row>
    <row r="11" spans="1:4" x14ac:dyDescent="0.2">
      <c r="D11" s="47"/>
    </row>
    <row r="12" spans="1:4" ht="13.5" thickBot="1" x14ac:dyDescent="0.25">
      <c r="A12" s="10"/>
      <c r="B12" s="44" t="s">
        <v>267</v>
      </c>
      <c r="C12" s="42" t="s">
        <v>268</v>
      </c>
      <c r="D12" s="42" t="s">
        <v>7</v>
      </c>
    </row>
    <row r="13" spans="1:4" ht="13.5" thickBot="1" x14ac:dyDescent="0.25">
      <c r="A13" s="43">
        <v>45901</v>
      </c>
    </row>
    <row r="14" spans="1:4" ht="15.75" thickBot="1" x14ac:dyDescent="0.25">
      <c r="A14" s="12" t="s">
        <v>266</v>
      </c>
      <c r="B14" s="45">
        <v>140.49</v>
      </c>
      <c r="C14" s="45">
        <v>25.22</v>
      </c>
      <c r="D14" s="45">
        <f>B14+C14</f>
        <v>165.71</v>
      </c>
    </row>
    <row r="15" spans="1:4" ht="15" x14ac:dyDescent="0.2">
      <c r="A15" s="12" t="s">
        <v>265</v>
      </c>
      <c r="B15" s="45">
        <v>56.52</v>
      </c>
      <c r="C15" s="45">
        <v>31.03</v>
      </c>
      <c r="D15" s="45">
        <f>B15+C15</f>
        <v>87.550000000000011</v>
      </c>
    </row>
    <row r="16" spans="1:4" ht="13.5" thickBot="1" x14ac:dyDescent="0.25"/>
    <row r="17" spans="1:4" ht="13.5" thickBot="1" x14ac:dyDescent="0.25">
      <c r="D17" s="48">
        <f>SUM(D14:D16)</f>
        <v>253.26000000000002</v>
      </c>
    </row>
    <row r="19" spans="1:4" ht="15.75" thickBot="1" x14ac:dyDescent="0.3">
      <c r="A19" s="10"/>
      <c r="B19" s="49" t="s">
        <v>267</v>
      </c>
      <c r="C19" s="49" t="s">
        <v>268</v>
      </c>
      <c r="D19" s="42" t="s">
        <v>7</v>
      </c>
    </row>
    <row r="20" spans="1:4" ht="13.5" thickBot="1" x14ac:dyDescent="0.25">
      <c r="A20" s="43">
        <v>45908</v>
      </c>
    </row>
    <row r="21" spans="1:4" ht="15.75" thickBot="1" x14ac:dyDescent="0.25">
      <c r="A21" s="12" t="s">
        <v>266</v>
      </c>
      <c r="B21" s="45">
        <v>140.49</v>
      </c>
      <c r="C21" s="45">
        <v>25.22</v>
      </c>
      <c r="D21" s="45">
        <f>B21+C21</f>
        <v>165.71</v>
      </c>
    </row>
    <row r="22" spans="1:4" ht="15" x14ac:dyDescent="0.2">
      <c r="A22" s="12" t="s">
        <v>265</v>
      </c>
      <c r="B22" s="45">
        <v>56.52</v>
      </c>
      <c r="C22" s="45">
        <v>31.03</v>
      </c>
      <c r="D22" s="45">
        <f>B22+C22</f>
        <v>87.550000000000011</v>
      </c>
    </row>
    <row r="23" spans="1:4" ht="13.5" thickBot="1" x14ac:dyDescent="0.25"/>
    <row r="24" spans="1:4" ht="13.5" thickBot="1" x14ac:dyDescent="0.25">
      <c r="D24" s="46">
        <f>SUM(D21:D23)</f>
        <v>253.26000000000002</v>
      </c>
    </row>
    <row r="27" spans="1:4" ht="15.75" thickBot="1" x14ac:dyDescent="0.3">
      <c r="B27" s="49" t="s">
        <v>267</v>
      </c>
      <c r="C27" s="49" t="s">
        <v>268</v>
      </c>
      <c r="D27" s="42" t="s">
        <v>7</v>
      </c>
    </row>
    <row r="28" spans="1:4" ht="13.5" thickBot="1" x14ac:dyDescent="0.25">
      <c r="A28" s="43">
        <v>45915</v>
      </c>
    </row>
    <row r="29" spans="1:4" ht="15.75" thickBot="1" x14ac:dyDescent="0.25">
      <c r="A29" s="12" t="s">
        <v>266</v>
      </c>
      <c r="B29" s="45">
        <v>140.49</v>
      </c>
      <c r="C29" s="45">
        <v>25.22</v>
      </c>
      <c r="D29" s="45">
        <f>B29+C29</f>
        <v>165.71</v>
      </c>
    </row>
    <row r="30" spans="1:4" ht="15" x14ac:dyDescent="0.2">
      <c r="A30" s="12" t="s">
        <v>265</v>
      </c>
      <c r="B30" s="45">
        <v>56.52</v>
      </c>
      <c r="C30" s="45">
        <v>31.03</v>
      </c>
      <c r="D30" s="45">
        <f>B30+C30</f>
        <v>87.550000000000011</v>
      </c>
    </row>
    <row r="31" spans="1:4" ht="15.75" thickBot="1" x14ac:dyDescent="0.25">
      <c r="A31" s="12"/>
    </row>
    <row r="32" spans="1:4" ht="13.5" thickBot="1" x14ac:dyDescent="0.25">
      <c r="D32" s="46">
        <f>SUM(D29:D31)</f>
        <v>253.26000000000002</v>
      </c>
    </row>
    <row r="34" spans="1:4" ht="15.75" thickBot="1" x14ac:dyDescent="0.3">
      <c r="A34" s="10"/>
      <c r="B34" s="49" t="s">
        <v>267</v>
      </c>
      <c r="C34" s="49" t="s">
        <v>268</v>
      </c>
      <c r="D34" s="42" t="s">
        <v>7</v>
      </c>
    </row>
    <row r="35" spans="1:4" ht="13.5" thickBot="1" x14ac:dyDescent="0.25">
      <c r="A35" s="43">
        <v>45922</v>
      </c>
    </row>
    <row r="36" spans="1:4" ht="15.75" thickBot="1" x14ac:dyDescent="0.25">
      <c r="A36" s="12" t="s">
        <v>266</v>
      </c>
      <c r="B36" s="45">
        <v>140.49</v>
      </c>
      <c r="C36" s="45">
        <v>25.22</v>
      </c>
      <c r="D36" s="45">
        <f>B36+C36</f>
        <v>165.71</v>
      </c>
    </row>
    <row r="37" spans="1:4" ht="15" x14ac:dyDescent="0.2">
      <c r="A37" s="12" t="s">
        <v>265</v>
      </c>
      <c r="B37" s="45">
        <v>56.52</v>
      </c>
      <c r="C37" s="45">
        <v>31.03</v>
      </c>
      <c r="D37" s="45">
        <f>B37+C37</f>
        <v>87.550000000000011</v>
      </c>
    </row>
    <row r="38" spans="1:4" ht="12.75" customHeight="1" thickBot="1" x14ac:dyDescent="0.25">
      <c r="A38" s="12"/>
    </row>
    <row r="39" spans="1:4" ht="15.75" thickBot="1" x14ac:dyDescent="0.25">
      <c r="A39" s="12"/>
      <c r="D39" s="46">
        <f>SUM(D36:D38)</f>
        <v>253.26000000000002</v>
      </c>
    </row>
    <row r="41" spans="1:4" ht="15.75" thickBot="1" x14ac:dyDescent="0.3">
      <c r="A41" s="10"/>
      <c r="B41" s="49" t="s">
        <v>267</v>
      </c>
      <c r="C41" s="49" t="s">
        <v>268</v>
      </c>
      <c r="D41" s="42" t="s">
        <v>7</v>
      </c>
    </row>
    <row r="42" spans="1:4" ht="13.5" thickBot="1" x14ac:dyDescent="0.25">
      <c r="A42" s="43">
        <v>45929</v>
      </c>
    </row>
    <row r="43" spans="1:4" ht="15.75" thickBot="1" x14ac:dyDescent="0.25">
      <c r="A43" s="12" t="s">
        <v>266</v>
      </c>
      <c r="B43" s="45">
        <v>140.49</v>
      </c>
      <c r="C43" s="45">
        <v>25.22</v>
      </c>
      <c r="D43" s="45">
        <f>B43+C43</f>
        <v>165.71</v>
      </c>
    </row>
    <row r="44" spans="1:4" ht="15" x14ac:dyDescent="0.2">
      <c r="A44" s="12" t="s">
        <v>265</v>
      </c>
      <c r="B44" s="45">
        <v>56.52</v>
      </c>
      <c r="C44" s="45">
        <v>31.02</v>
      </c>
      <c r="D44" s="45">
        <f>B44+C44</f>
        <v>87.54</v>
      </c>
    </row>
    <row r="45" spans="1:4" ht="13.5" thickBot="1" x14ac:dyDescent="0.25"/>
    <row r="46" spans="1:4" ht="13.5" thickBot="1" x14ac:dyDescent="0.25">
      <c r="D46" s="46">
        <f>SUM(D43:D45)</f>
        <v>253.25</v>
      </c>
    </row>
    <row r="47" spans="1:4" x14ac:dyDescent="0.2">
      <c r="B47" s="47"/>
      <c r="C47" s="47"/>
      <c r="D47" s="47"/>
    </row>
    <row r="48" spans="1:4" x14ac:dyDescent="0.2">
      <c r="B48" s="47"/>
      <c r="C48" s="50"/>
      <c r="D48" s="47"/>
    </row>
    <row r="49" spans="2:4" x14ac:dyDescent="0.2">
      <c r="B49" s="47"/>
      <c r="C49" s="47"/>
      <c r="D49" s="47"/>
    </row>
    <row r="51" spans="2:4" x14ac:dyDescent="0.2">
      <c r="C51" s="8"/>
    </row>
    <row r="52" spans="2:4" ht="56.25" customHeight="1" x14ac:dyDescent="0.2">
      <c r="B52" s="40"/>
      <c r="C52" s="52" t="e" vm="1">
        <v>#VALUE!</v>
      </c>
      <c r="D52" s="2"/>
    </row>
    <row r="53" spans="2:4" ht="37.5" customHeight="1" x14ac:dyDescent="0.2">
      <c r="B53" s="2"/>
      <c r="C53" s="2"/>
      <c r="D53" s="2"/>
    </row>
  </sheetData>
  <pageMargins left="0.7" right="0.7" top="0.75" bottom="0.75" header="0.3" footer="0.3"/>
  <pageSetup scale="90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5E55-797E-4928-83AE-0C3BBBB4F6AC}">
  <sheetPr>
    <pageSetUpPr fitToPage="1"/>
  </sheetPr>
  <dimension ref="A1:D53"/>
  <sheetViews>
    <sheetView workbookViewId="0"/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</cols>
  <sheetData>
    <row r="1" spans="1:4" ht="13.5" thickBot="1" x14ac:dyDescent="0.25"/>
    <row r="2" spans="1:4" ht="13.5" thickBot="1" x14ac:dyDescent="0.25">
      <c r="A2" s="11" t="s">
        <v>270</v>
      </c>
      <c r="B2" s="43">
        <v>45931</v>
      </c>
    </row>
    <row r="3" spans="1:4" x14ac:dyDescent="0.2">
      <c r="A3" s="11"/>
      <c r="B3" s="44"/>
    </row>
    <row r="4" spans="1:4" x14ac:dyDescent="0.2">
      <c r="D4" s="47"/>
    </row>
    <row r="5" spans="1:4" ht="13.5" thickBot="1" x14ac:dyDescent="0.25">
      <c r="A5" s="10"/>
      <c r="B5" s="44" t="s">
        <v>267</v>
      </c>
      <c r="C5" s="42" t="s">
        <v>268</v>
      </c>
      <c r="D5" s="42" t="s">
        <v>7</v>
      </c>
    </row>
    <row r="6" spans="1:4" ht="13.5" thickBot="1" x14ac:dyDescent="0.25">
      <c r="A6" s="43" t="s">
        <v>276</v>
      </c>
    </row>
    <row r="7" spans="1:4" ht="15.75" thickBot="1" x14ac:dyDescent="0.25">
      <c r="A7" s="12" t="s">
        <v>266</v>
      </c>
      <c r="B7" s="45">
        <v>619.76</v>
      </c>
      <c r="C7" s="45">
        <v>140.49</v>
      </c>
      <c r="D7" s="45">
        <v>760.25</v>
      </c>
    </row>
    <row r="8" spans="1:4" ht="15" x14ac:dyDescent="0.2">
      <c r="A8" s="12" t="s">
        <v>265</v>
      </c>
      <c r="B8" s="45">
        <v>276.95</v>
      </c>
      <c r="C8" s="45">
        <v>166.1688</v>
      </c>
      <c r="D8" s="45">
        <v>443.11879999999996</v>
      </c>
    </row>
    <row r="9" spans="1:4" ht="13.5" thickBot="1" x14ac:dyDescent="0.25"/>
    <row r="10" spans="1:4" ht="13.5" thickBot="1" x14ac:dyDescent="0.25">
      <c r="D10" s="48">
        <v>1203.3688</v>
      </c>
    </row>
    <row r="11" spans="1:4" x14ac:dyDescent="0.2">
      <c r="D11" s="47"/>
    </row>
    <row r="12" spans="1:4" ht="13.5" thickBot="1" x14ac:dyDescent="0.25">
      <c r="A12" s="10"/>
      <c r="B12" s="44" t="s">
        <v>267</v>
      </c>
      <c r="C12" s="42" t="s">
        <v>268</v>
      </c>
      <c r="D12" s="42" t="s">
        <v>7</v>
      </c>
    </row>
    <row r="13" spans="1:4" ht="13.5" thickBot="1" x14ac:dyDescent="0.25">
      <c r="A13" s="43">
        <v>45936</v>
      </c>
    </row>
    <row r="14" spans="1:4" ht="15.75" thickBot="1" x14ac:dyDescent="0.25">
      <c r="A14" s="12" t="s">
        <v>266</v>
      </c>
      <c r="B14" s="45">
        <v>140.49</v>
      </c>
      <c r="C14" s="45">
        <v>28.097999999999999</v>
      </c>
      <c r="D14" s="45">
        <v>168.58800000000002</v>
      </c>
    </row>
    <row r="15" spans="1:4" ht="15" x14ac:dyDescent="0.2">
      <c r="A15" s="12" t="s">
        <v>265</v>
      </c>
      <c r="B15" s="45">
        <v>56.52</v>
      </c>
      <c r="C15" s="45">
        <v>33.911999999999999</v>
      </c>
      <c r="D15" s="45">
        <v>90.432000000000002</v>
      </c>
    </row>
    <row r="16" spans="1:4" ht="13.5" thickBot="1" x14ac:dyDescent="0.25"/>
    <row r="17" spans="1:4" ht="13.5" thickBot="1" x14ac:dyDescent="0.25">
      <c r="D17" s="48">
        <v>259.02000000000004</v>
      </c>
    </row>
    <row r="19" spans="1:4" ht="15.75" thickBot="1" x14ac:dyDescent="0.3">
      <c r="A19" s="10"/>
      <c r="B19" s="49" t="s">
        <v>267</v>
      </c>
      <c r="C19" s="49" t="s">
        <v>268</v>
      </c>
      <c r="D19" s="42" t="s">
        <v>7</v>
      </c>
    </row>
    <row r="20" spans="1:4" ht="13.5" thickBot="1" x14ac:dyDescent="0.25">
      <c r="A20" s="43">
        <v>45943</v>
      </c>
    </row>
    <row r="21" spans="1:4" ht="15.75" thickBot="1" x14ac:dyDescent="0.25">
      <c r="A21" s="12" t="s">
        <v>266</v>
      </c>
      <c r="B21" s="45">
        <v>57.8</v>
      </c>
      <c r="C21" s="45">
        <v>28.097999999999999</v>
      </c>
      <c r="D21" s="45">
        <v>168.58800000000002</v>
      </c>
    </row>
    <row r="22" spans="1:4" ht="15" x14ac:dyDescent="0.2">
      <c r="A22" s="12" t="s">
        <v>265</v>
      </c>
      <c r="B22" s="45">
        <v>50.87</v>
      </c>
      <c r="C22" s="45">
        <v>30.520799999999998</v>
      </c>
      <c r="D22" s="45">
        <v>90.432000000000002</v>
      </c>
    </row>
    <row r="23" spans="1:4" ht="13.5" thickBot="1" x14ac:dyDescent="0.25"/>
    <row r="24" spans="1:4" ht="13.5" thickBot="1" x14ac:dyDescent="0.25">
      <c r="D24" s="46">
        <v>259.02000000000004</v>
      </c>
    </row>
    <row r="27" spans="1:4" ht="15.75" thickBot="1" x14ac:dyDescent="0.3">
      <c r="B27" s="49" t="s">
        <v>267</v>
      </c>
      <c r="C27" s="49" t="s">
        <v>268</v>
      </c>
      <c r="D27" s="42" t="s">
        <v>7</v>
      </c>
    </row>
    <row r="28" spans="1:4" ht="13.5" thickBot="1" x14ac:dyDescent="0.25">
      <c r="A28" s="43">
        <v>45950</v>
      </c>
    </row>
    <row r="29" spans="1:4" ht="15.75" thickBot="1" x14ac:dyDescent="0.25">
      <c r="A29" s="12" t="s">
        <v>266</v>
      </c>
      <c r="B29" s="45">
        <v>140.49</v>
      </c>
      <c r="C29" s="45">
        <v>28.097999999999999</v>
      </c>
      <c r="D29" s="45">
        <v>168.58800000000002</v>
      </c>
    </row>
    <row r="30" spans="1:4" ht="15" x14ac:dyDescent="0.2">
      <c r="A30" s="12" t="s">
        <v>265</v>
      </c>
      <c r="B30" s="45">
        <v>56.52</v>
      </c>
      <c r="C30" s="45">
        <v>33.911999999999999</v>
      </c>
      <c r="D30" s="45">
        <v>90.432000000000002</v>
      </c>
    </row>
    <row r="31" spans="1:4" ht="15.75" thickBot="1" x14ac:dyDescent="0.25">
      <c r="A31" s="12"/>
    </row>
    <row r="32" spans="1:4" ht="13.5" thickBot="1" x14ac:dyDescent="0.25">
      <c r="D32" s="46">
        <v>259.02000000000004</v>
      </c>
    </row>
    <row r="34" spans="1:4" ht="15.75" thickBot="1" x14ac:dyDescent="0.3">
      <c r="A34" s="10"/>
      <c r="B34" s="49" t="s">
        <v>267</v>
      </c>
      <c r="C34" s="49" t="s">
        <v>268</v>
      </c>
      <c r="D34" s="42" t="s">
        <v>7</v>
      </c>
    </row>
    <row r="35" spans="1:4" ht="13.5" thickBot="1" x14ac:dyDescent="0.25">
      <c r="A35" s="43">
        <v>45957</v>
      </c>
    </row>
    <row r="36" spans="1:4" ht="15.75" thickBot="1" x14ac:dyDescent="0.25">
      <c r="A36" s="12" t="s">
        <v>266</v>
      </c>
      <c r="B36" s="45">
        <v>140.49</v>
      </c>
      <c r="C36" s="45">
        <v>28.097999999999999</v>
      </c>
      <c r="D36" s="45">
        <v>168.58800000000002</v>
      </c>
    </row>
    <row r="37" spans="1:4" ht="15" x14ac:dyDescent="0.2">
      <c r="A37" s="12" t="s">
        <v>265</v>
      </c>
      <c r="B37" s="45">
        <v>56.52</v>
      </c>
      <c r="C37" s="45">
        <v>33.911999999999999</v>
      </c>
      <c r="D37" s="45">
        <v>90.432000000000002</v>
      </c>
    </row>
    <row r="38" spans="1:4" ht="12.75" customHeight="1" thickBot="1" x14ac:dyDescent="0.25">
      <c r="A38" s="12"/>
    </row>
    <row r="39" spans="1:4" ht="15.75" thickBot="1" x14ac:dyDescent="0.25">
      <c r="A39" s="12"/>
      <c r="D39" s="46">
        <v>259.02000000000004</v>
      </c>
    </row>
    <row r="41" spans="1:4" ht="15.75" thickBot="1" x14ac:dyDescent="0.3">
      <c r="A41" s="10"/>
      <c r="B41" s="49" t="s">
        <v>267</v>
      </c>
      <c r="C41" s="49" t="s">
        <v>268</v>
      </c>
      <c r="D41" s="42" t="s">
        <v>7</v>
      </c>
    </row>
    <row r="42" spans="1:4" ht="13.5" thickBot="1" x14ac:dyDescent="0.25">
      <c r="A42" s="43" t="s">
        <v>273</v>
      </c>
    </row>
    <row r="43" spans="1:4" ht="15.75" thickBot="1" x14ac:dyDescent="0.25">
      <c r="A43" s="12" t="s">
        <v>266</v>
      </c>
      <c r="B43" s="45">
        <v>140.49</v>
      </c>
      <c r="C43" s="45">
        <v>28.097999999999999</v>
      </c>
      <c r="D43" s="45">
        <v>168.58800000000002</v>
      </c>
    </row>
    <row r="44" spans="1:4" ht="15" x14ac:dyDescent="0.2">
      <c r="A44" s="12" t="s">
        <v>265</v>
      </c>
      <c r="B44" s="45">
        <v>56.52</v>
      </c>
      <c r="C44" s="45">
        <v>33.911999999999999</v>
      </c>
      <c r="D44" s="45">
        <v>90.432000000000002</v>
      </c>
    </row>
    <row r="45" spans="1:4" ht="13.5" thickBot="1" x14ac:dyDescent="0.25"/>
    <row r="46" spans="1:4" ht="13.5" thickBot="1" x14ac:dyDescent="0.25">
      <c r="D46" s="46"/>
    </row>
    <row r="47" spans="1:4" x14ac:dyDescent="0.2">
      <c r="B47" s="47"/>
      <c r="C47" s="47"/>
      <c r="D47" s="47"/>
    </row>
    <row r="48" spans="1:4" x14ac:dyDescent="0.2">
      <c r="B48" s="47"/>
      <c r="C48" s="50"/>
      <c r="D48" s="47"/>
    </row>
    <row r="49" spans="2:4" x14ac:dyDescent="0.2">
      <c r="B49" s="47"/>
      <c r="C49" s="47"/>
      <c r="D49" s="47"/>
    </row>
    <row r="51" spans="2:4" x14ac:dyDescent="0.2">
      <c r="C51" s="8"/>
    </row>
    <row r="52" spans="2:4" ht="56.25" customHeight="1" x14ac:dyDescent="0.2">
      <c r="B52" s="40"/>
      <c r="C52" s="52" t="e" vm="1">
        <v>#VALUE!</v>
      </c>
      <c r="D52" s="2"/>
    </row>
    <row r="53" spans="2:4" ht="37.5" customHeight="1" x14ac:dyDescent="0.2">
      <c r="B53" s="2"/>
      <c r="C53" s="2"/>
      <c r="D53" s="2"/>
    </row>
  </sheetData>
  <pageMargins left="0.7" right="0.7" top="0.75" bottom="0.75" header="0.3" footer="0.3"/>
  <pageSetup scale="90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A7D4-B25E-443E-848D-4991F5FA3E5C}">
  <sheetPr>
    <pageSetUpPr fitToPage="1"/>
  </sheetPr>
  <dimension ref="A1:F53"/>
  <sheetViews>
    <sheetView workbookViewId="0">
      <selection activeCell="B5" sqref="B5:D5"/>
    </sheetView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</cols>
  <sheetData>
    <row r="1" spans="1:6" ht="13.5" thickBot="1" x14ac:dyDescent="0.25"/>
    <row r="2" spans="1:6" ht="13.5" thickBot="1" x14ac:dyDescent="0.25">
      <c r="A2" s="11" t="s">
        <v>270</v>
      </c>
      <c r="B2" s="43">
        <v>45962</v>
      </c>
    </row>
    <row r="3" spans="1:6" x14ac:dyDescent="0.2">
      <c r="A3" s="11"/>
      <c r="B3" s="44"/>
    </row>
    <row r="4" spans="1:6" x14ac:dyDescent="0.2">
      <c r="D4" s="47"/>
    </row>
    <row r="5" spans="1:6" ht="13.5" thickBot="1" x14ac:dyDescent="0.25">
      <c r="A5" s="10"/>
      <c r="B5" s="44" t="s">
        <v>267</v>
      </c>
      <c r="C5" s="42" t="s">
        <v>268</v>
      </c>
      <c r="D5" s="42" t="s">
        <v>7</v>
      </c>
    </row>
    <row r="6" spans="1:6" ht="13.5" thickBot="1" x14ac:dyDescent="0.25">
      <c r="A6" s="43" t="s">
        <v>276</v>
      </c>
    </row>
    <row r="7" spans="1:6" ht="15.75" thickBot="1" x14ac:dyDescent="0.25">
      <c r="A7" s="12" t="s">
        <v>266</v>
      </c>
      <c r="B7" s="45">
        <v>561.96</v>
      </c>
      <c r="C7" s="45">
        <v>112.392</v>
      </c>
      <c r="D7" s="45">
        <v>674.35200000000009</v>
      </c>
    </row>
    <row r="8" spans="1:6" ht="15" x14ac:dyDescent="0.2">
      <c r="A8" s="12" t="s">
        <v>265</v>
      </c>
      <c r="B8" s="45">
        <v>221.84000000000003</v>
      </c>
      <c r="C8" s="45">
        <v>133.1046</v>
      </c>
      <c r="D8" s="45">
        <v>354.94460000000004</v>
      </c>
    </row>
    <row r="9" spans="1:6" ht="13.5" thickBot="1" x14ac:dyDescent="0.25"/>
    <row r="10" spans="1:6" ht="13.5" thickBot="1" x14ac:dyDescent="0.25">
      <c r="D10" s="48">
        <v>1029.2966000000001</v>
      </c>
      <c r="F10">
        <v>1029.2966000000001</v>
      </c>
    </row>
    <row r="11" spans="1:6" x14ac:dyDescent="0.2">
      <c r="D11" s="47"/>
    </row>
    <row r="12" spans="1:6" ht="13.5" thickBot="1" x14ac:dyDescent="0.25">
      <c r="A12" s="10"/>
      <c r="B12" s="44" t="s">
        <v>267</v>
      </c>
      <c r="C12" s="42" t="s">
        <v>268</v>
      </c>
      <c r="D12" s="42" t="s">
        <v>7</v>
      </c>
    </row>
    <row r="13" spans="1:6" ht="13.5" thickBot="1" x14ac:dyDescent="0.25">
      <c r="A13" s="43">
        <v>45964</v>
      </c>
    </row>
    <row r="14" spans="1:6" ht="15.75" thickBot="1" x14ac:dyDescent="0.25">
      <c r="A14" s="12" t="s">
        <v>266</v>
      </c>
      <c r="B14" s="45">
        <v>140.49</v>
      </c>
      <c r="C14" s="45">
        <v>28.097999999999999</v>
      </c>
      <c r="D14" s="45">
        <v>168.58800000000002</v>
      </c>
    </row>
    <row r="15" spans="1:6" ht="15" x14ac:dyDescent="0.2">
      <c r="A15" s="12" t="s">
        <v>265</v>
      </c>
      <c r="B15" s="45">
        <v>56.52</v>
      </c>
      <c r="C15" s="45">
        <v>33.911999999999999</v>
      </c>
      <c r="D15" s="45">
        <v>90.432000000000002</v>
      </c>
    </row>
    <row r="16" spans="1:6" ht="13.5" thickBot="1" x14ac:dyDescent="0.25"/>
    <row r="17" spans="1:4" ht="13.5" thickBot="1" x14ac:dyDescent="0.25">
      <c r="D17" s="48">
        <v>259.02000000000004</v>
      </c>
    </row>
    <row r="19" spans="1:4" ht="15.75" thickBot="1" x14ac:dyDescent="0.3">
      <c r="A19" s="10"/>
      <c r="B19" s="49" t="s">
        <v>267</v>
      </c>
      <c r="C19" s="49" t="s">
        <v>268</v>
      </c>
      <c r="D19" s="42" t="s">
        <v>7</v>
      </c>
    </row>
    <row r="20" spans="1:4" ht="13.5" thickBot="1" x14ac:dyDescent="0.25">
      <c r="A20" s="43">
        <v>45971</v>
      </c>
    </row>
    <row r="21" spans="1:4" ht="15.75" thickBot="1" x14ac:dyDescent="0.25">
      <c r="A21" s="12" t="s">
        <v>266</v>
      </c>
      <c r="B21" s="45">
        <v>140.49</v>
      </c>
      <c r="C21" s="45">
        <v>28.097999999999999</v>
      </c>
      <c r="D21" s="45">
        <v>168.58800000000002</v>
      </c>
    </row>
    <row r="22" spans="1:4" ht="15" x14ac:dyDescent="0.2">
      <c r="A22" s="12" t="s">
        <v>265</v>
      </c>
      <c r="B22" s="45">
        <v>53.69</v>
      </c>
      <c r="C22" s="45">
        <v>32.2164</v>
      </c>
      <c r="D22" s="45">
        <v>85.906399999999991</v>
      </c>
    </row>
    <row r="23" spans="1:4" ht="13.5" thickBot="1" x14ac:dyDescent="0.25"/>
    <row r="24" spans="1:4" ht="13.5" thickBot="1" x14ac:dyDescent="0.25">
      <c r="D24" s="46">
        <v>254.49440000000001</v>
      </c>
    </row>
    <row r="27" spans="1:4" ht="15.75" thickBot="1" x14ac:dyDescent="0.3">
      <c r="B27" s="49" t="s">
        <v>267</v>
      </c>
      <c r="C27" s="49" t="s">
        <v>268</v>
      </c>
      <c r="D27" s="42" t="s">
        <v>7</v>
      </c>
    </row>
    <row r="28" spans="1:4" ht="13.5" thickBot="1" x14ac:dyDescent="0.25">
      <c r="A28" s="43">
        <v>45978</v>
      </c>
    </row>
    <row r="29" spans="1:4" ht="15.75" thickBot="1" x14ac:dyDescent="0.25">
      <c r="A29" s="12" t="s">
        <v>266</v>
      </c>
      <c r="B29" s="45">
        <v>140.49</v>
      </c>
      <c r="C29" s="45">
        <v>28.097999999999999</v>
      </c>
      <c r="D29" s="45">
        <v>168.58800000000002</v>
      </c>
    </row>
    <row r="30" spans="1:4" ht="15" x14ac:dyDescent="0.2">
      <c r="A30" s="12" t="s">
        <v>265</v>
      </c>
      <c r="B30" s="45">
        <v>56.52</v>
      </c>
      <c r="C30" s="45">
        <v>33.911999999999999</v>
      </c>
      <c r="D30" s="45">
        <v>90.432000000000002</v>
      </c>
    </row>
    <row r="31" spans="1:4" ht="15.75" thickBot="1" x14ac:dyDescent="0.25">
      <c r="A31" s="12"/>
    </row>
    <row r="32" spans="1:4" ht="13.5" thickBot="1" x14ac:dyDescent="0.25">
      <c r="D32" s="46">
        <v>259.02000000000004</v>
      </c>
    </row>
    <row r="34" spans="1:4" ht="15.75" thickBot="1" x14ac:dyDescent="0.3">
      <c r="A34" s="10"/>
      <c r="B34" s="49" t="s">
        <v>267</v>
      </c>
      <c r="C34" s="49" t="s">
        <v>268</v>
      </c>
      <c r="D34" s="42" t="s">
        <v>7</v>
      </c>
    </row>
    <row r="35" spans="1:4" ht="13.5" thickBot="1" x14ac:dyDescent="0.25">
      <c r="A35" s="43">
        <v>45985</v>
      </c>
    </row>
    <row r="36" spans="1:4" ht="15.75" thickBot="1" x14ac:dyDescent="0.25">
      <c r="A36" s="12" t="s">
        <v>266</v>
      </c>
      <c r="B36" s="45">
        <v>140.49</v>
      </c>
      <c r="C36" s="45">
        <v>28.097999999999999</v>
      </c>
      <c r="D36" s="45">
        <v>168.58800000000002</v>
      </c>
    </row>
    <row r="37" spans="1:4" ht="15" x14ac:dyDescent="0.2">
      <c r="A37" s="12" t="s">
        <v>265</v>
      </c>
      <c r="B37" s="45">
        <v>55.11</v>
      </c>
      <c r="C37" s="45">
        <v>33.0642</v>
      </c>
      <c r="D37" s="45">
        <v>88.174199999999999</v>
      </c>
    </row>
    <row r="38" spans="1:4" ht="12.75" customHeight="1" thickBot="1" x14ac:dyDescent="0.25">
      <c r="A38" s="12"/>
    </row>
    <row r="39" spans="1:4" ht="15.75" thickBot="1" x14ac:dyDescent="0.25">
      <c r="A39" s="12"/>
      <c r="D39" s="46">
        <v>256.76220000000001</v>
      </c>
    </row>
    <row r="41" spans="1:4" ht="15.75" thickBot="1" x14ac:dyDescent="0.3">
      <c r="A41" s="10"/>
      <c r="B41" s="49" t="s">
        <v>267</v>
      </c>
      <c r="C41" s="49" t="s">
        <v>268</v>
      </c>
      <c r="D41" s="42" t="s">
        <v>7</v>
      </c>
    </row>
    <row r="42" spans="1:4" ht="13.5" thickBot="1" x14ac:dyDescent="0.25">
      <c r="A42" s="43" t="s">
        <v>273</v>
      </c>
    </row>
    <row r="43" spans="1:4" ht="15.75" thickBot="1" x14ac:dyDescent="0.25">
      <c r="A43" s="12" t="s">
        <v>266</v>
      </c>
      <c r="B43" s="45">
        <v>0</v>
      </c>
      <c r="C43" s="45">
        <v>0</v>
      </c>
      <c r="D43" s="45">
        <v>0</v>
      </c>
    </row>
    <row r="44" spans="1:4" ht="15" x14ac:dyDescent="0.2">
      <c r="A44" s="12" t="s">
        <v>265</v>
      </c>
      <c r="B44" s="45">
        <v>0</v>
      </c>
      <c r="C44" s="45">
        <v>0</v>
      </c>
      <c r="D44" s="45">
        <v>0</v>
      </c>
    </row>
    <row r="45" spans="1:4" ht="13.5" thickBot="1" x14ac:dyDescent="0.25"/>
    <row r="46" spans="1:4" ht="13.5" thickBot="1" x14ac:dyDescent="0.25">
      <c r="D46" s="46">
        <v>0</v>
      </c>
    </row>
    <row r="47" spans="1:4" x14ac:dyDescent="0.2">
      <c r="B47" s="47"/>
      <c r="C47" s="47"/>
      <c r="D47" s="47"/>
    </row>
    <row r="48" spans="1:4" x14ac:dyDescent="0.2">
      <c r="B48" s="47"/>
      <c r="C48" s="50"/>
      <c r="D48" s="47"/>
    </row>
    <row r="49" spans="2:4" x14ac:dyDescent="0.2">
      <c r="B49" s="47"/>
      <c r="C49" s="47"/>
      <c r="D49" s="47"/>
    </row>
    <row r="51" spans="2:4" x14ac:dyDescent="0.2">
      <c r="C51" s="8"/>
    </row>
    <row r="52" spans="2:4" ht="56.25" customHeight="1" x14ac:dyDescent="0.2">
      <c r="B52" s="40"/>
      <c r="C52" s="52" t="e" vm="1">
        <v>#VALUE!</v>
      </c>
      <c r="D52" s="2"/>
    </row>
    <row r="53" spans="2:4" ht="37.5" customHeight="1" x14ac:dyDescent="0.2">
      <c r="B53" s="2"/>
      <c r="C53" s="2"/>
      <c r="D53" s="2"/>
    </row>
  </sheetData>
  <pageMargins left="0.7" right="0.7" top="0.75" bottom="0.75" header="0.3" footer="0.3"/>
  <pageSetup scale="90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771C-7F65-4026-BECF-A1153CFEF7AF}">
  <sheetPr>
    <pageSetUpPr fitToPage="1"/>
  </sheetPr>
  <dimension ref="A1:F53"/>
  <sheetViews>
    <sheetView workbookViewId="0">
      <selection activeCell="A6" sqref="A6:D10"/>
    </sheetView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</cols>
  <sheetData>
    <row r="1" spans="1:6" ht="13.5" thickBot="1" x14ac:dyDescent="0.25"/>
    <row r="2" spans="1:6" ht="13.5" thickBot="1" x14ac:dyDescent="0.25">
      <c r="A2" s="11" t="s">
        <v>270</v>
      </c>
      <c r="B2" s="43">
        <v>45992</v>
      </c>
    </row>
    <row r="3" spans="1:6" x14ac:dyDescent="0.2">
      <c r="A3" s="11"/>
      <c r="B3" s="44"/>
    </row>
    <row r="4" spans="1:6" x14ac:dyDescent="0.2">
      <c r="D4" s="47"/>
    </row>
    <row r="5" spans="1:6" ht="13.5" thickBot="1" x14ac:dyDescent="0.25">
      <c r="A5" s="10"/>
      <c r="B5" s="44" t="s">
        <v>267</v>
      </c>
      <c r="C5" s="42" t="s">
        <v>268</v>
      </c>
      <c r="D5" s="42" t="s">
        <v>7</v>
      </c>
    </row>
    <row r="6" spans="1:6" ht="13.5" thickBot="1" x14ac:dyDescent="0.25">
      <c r="A6" s="43" t="s">
        <v>276</v>
      </c>
    </row>
    <row r="7" spans="1:6" ht="15.75" thickBot="1" x14ac:dyDescent="0.25">
      <c r="A7" s="12" t="s">
        <v>266</v>
      </c>
      <c r="B7" s="45">
        <v>688.40000000000009</v>
      </c>
      <c r="C7" s="45">
        <v>137.68020000000001</v>
      </c>
      <c r="D7" s="45">
        <v>826.0802000000001</v>
      </c>
    </row>
    <row r="8" spans="1:6" ht="15" x14ac:dyDescent="0.2">
      <c r="A8" s="12" t="s">
        <v>265</v>
      </c>
      <c r="B8" s="45">
        <v>246.57</v>
      </c>
      <c r="C8" s="45">
        <v>147.94109999999998</v>
      </c>
      <c r="D8" s="45">
        <v>394.51109999999994</v>
      </c>
    </row>
    <row r="9" spans="1:6" ht="13.5" thickBot="1" x14ac:dyDescent="0.25"/>
    <row r="10" spans="1:6" ht="13.5" thickBot="1" x14ac:dyDescent="0.25">
      <c r="D10" s="48">
        <v>1220.5913</v>
      </c>
      <c r="F10">
        <v>1220.5913</v>
      </c>
    </row>
    <row r="11" spans="1:6" x14ac:dyDescent="0.2">
      <c r="D11" s="47"/>
    </row>
    <row r="12" spans="1:6" ht="13.5" thickBot="1" x14ac:dyDescent="0.25">
      <c r="A12" s="10"/>
      <c r="B12" s="44" t="s">
        <v>267</v>
      </c>
      <c r="C12" s="42" t="s">
        <v>268</v>
      </c>
      <c r="D12" s="42" t="s">
        <v>7</v>
      </c>
    </row>
    <row r="13" spans="1:6" ht="13.5" thickBot="1" x14ac:dyDescent="0.25">
      <c r="A13" s="43">
        <v>45992</v>
      </c>
    </row>
    <row r="14" spans="1:6" ht="15.75" thickBot="1" x14ac:dyDescent="0.25">
      <c r="A14" s="12" t="s">
        <v>266</v>
      </c>
      <c r="B14" s="45">
        <v>140.49</v>
      </c>
      <c r="C14" s="45">
        <v>28.097999999999999</v>
      </c>
      <c r="D14" s="45">
        <v>168.58800000000002</v>
      </c>
    </row>
    <row r="15" spans="1:6" ht="15" x14ac:dyDescent="0.2">
      <c r="A15" s="12" t="s">
        <v>265</v>
      </c>
      <c r="B15" s="45">
        <v>56.52</v>
      </c>
      <c r="C15" s="45">
        <v>33.911999999999999</v>
      </c>
      <c r="D15" s="45">
        <v>90.432000000000002</v>
      </c>
    </row>
    <row r="16" spans="1:6" ht="13.5" thickBot="1" x14ac:dyDescent="0.25"/>
    <row r="17" spans="1:4" ht="13.5" thickBot="1" x14ac:dyDescent="0.25">
      <c r="D17" s="48">
        <v>259.02000000000004</v>
      </c>
    </row>
    <row r="19" spans="1:4" ht="15.75" thickBot="1" x14ac:dyDescent="0.3">
      <c r="A19" s="10"/>
      <c r="B19" s="49" t="s">
        <v>267</v>
      </c>
      <c r="C19" s="49" t="s">
        <v>268</v>
      </c>
      <c r="D19" s="42" t="s">
        <v>7</v>
      </c>
    </row>
    <row r="20" spans="1:4" ht="13.5" thickBot="1" x14ac:dyDescent="0.25">
      <c r="A20" s="43">
        <v>45999</v>
      </c>
    </row>
    <row r="21" spans="1:4" ht="15.75" thickBot="1" x14ac:dyDescent="0.25">
      <c r="A21" s="12" t="s">
        <v>266</v>
      </c>
      <c r="B21" s="45">
        <v>140.49</v>
      </c>
      <c r="C21" s="45">
        <v>28.097999999999999</v>
      </c>
      <c r="D21" s="45">
        <v>168.58800000000002</v>
      </c>
    </row>
    <row r="22" spans="1:4" ht="15" x14ac:dyDescent="0.2">
      <c r="A22" s="12" t="s">
        <v>265</v>
      </c>
      <c r="B22" s="45">
        <v>56.52</v>
      </c>
      <c r="C22" s="45">
        <v>33.911999999999999</v>
      </c>
      <c r="D22" s="45">
        <v>90.432000000000002</v>
      </c>
    </row>
    <row r="23" spans="1:4" ht="13.5" thickBot="1" x14ac:dyDescent="0.25"/>
    <row r="24" spans="1:4" ht="13.5" thickBot="1" x14ac:dyDescent="0.25">
      <c r="D24" s="46">
        <v>259.02000000000004</v>
      </c>
    </row>
    <row r="27" spans="1:4" ht="15.75" thickBot="1" x14ac:dyDescent="0.3">
      <c r="B27" s="49" t="s">
        <v>267</v>
      </c>
      <c r="C27" s="49" t="s">
        <v>268</v>
      </c>
      <c r="D27" s="42" t="s">
        <v>7</v>
      </c>
    </row>
    <row r="28" spans="1:4" ht="13.5" thickBot="1" x14ac:dyDescent="0.25">
      <c r="A28" s="43">
        <v>46006</v>
      </c>
    </row>
    <row r="29" spans="1:4" ht="15.75" thickBot="1" x14ac:dyDescent="0.25">
      <c r="A29" s="12" t="s">
        <v>266</v>
      </c>
      <c r="B29" s="45">
        <v>126.44</v>
      </c>
      <c r="C29" s="45">
        <v>25.2882</v>
      </c>
      <c r="D29" s="45">
        <v>151.72819999999999</v>
      </c>
    </row>
    <row r="30" spans="1:4" ht="15" x14ac:dyDescent="0.2">
      <c r="A30" s="12" t="s">
        <v>265</v>
      </c>
      <c r="B30" s="45">
        <v>56.52</v>
      </c>
      <c r="C30" s="45">
        <v>33.911999999999999</v>
      </c>
      <c r="D30" s="45">
        <v>90.432000000000002</v>
      </c>
    </row>
    <row r="31" spans="1:4" ht="15.75" thickBot="1" x14ac:dyDescent="0.25">
      <c r="A31" s="12"/>
    </row>
    <row r="32" spans="1:4" ht="13.5" thickBot="1" x14ac:dyDescent="0.25">
      <c r="D32" s="46">
        <v>242.16019999999997</v>
      </c>
    </row>
    <row r="34" spans="1:4" ht="15.75" thickBot="1" x14ac:dyDescent="0.3">
      <c r="A34" s="10"/>
      <c r="B34" s="49" t="s">
        <v>267</v>
      </c>
      <c r="C34" s="49" t="s">
        <v>268</v>
      </c>
      <c r="D34" s="42" t="s">
        <v>7</v>
      </c>
    </row>
    <row r="35" spans="1:4" ht="13.5" thickBot="1" x14ac:dyDescent="0.25">
      <c r="A35" s="43">
        <v>46013</v>
      </c>
    </row>
    <row r="36" spans="1:4" ht="15.75" thickBot="1" x14ac:dyDescent="0.25">
      <c r="A36" s="12" t="s">
        <v>266</v>
      </c>
      <c r="B36" s="45">
        <v>140.49</v>
      </c>
      <c r="C36" s="45">
        <v>28.097999999999999</v>
      </c>
      <c r="D36" s="45">
        <v>168.58800000000002</v>
      </c>
    </row>
    <row r="37" spans="1:4" ht="15" x14ac:dyDescent="0.2">
      <c r="A37" s="12" t="s">
        <v>265</v>
      </c>
      <c r="B37" s="45">
        <v>54.4</v>
      </c>
      <c r="C37" s="45">
        <v>32.640299999999996</v>
      </c>
      <c r="D37" s="45">
        <v>87.040300000000002</v>
      </c>
    </row>
    <row r="38" spans="1:4" ht="12.75" customHeight="1" thickBot="1" x14ac:dyDescent="0.25">
      <c r="A38" s="12"/>
    </row>
    <row r="39" spans="1:4" ht="15.75" thickBot="1" x14ac:dyDescent="0.25">
      <c r="A39" s="12"/>
      <c r="D39" s="46">
        <v>255.62830000000002</v>
      </c>
    </row>
    <row r="41" spans="1:4" ht="15.75" thickBot="1" x14ac:dyDescent="0.3">
      <c r="A41" s="10"/>
      <c r="B41" s="49" t="s">
        <v>267</v>
      </c>
      <c r="C41" s="49" t="s">
        <v>268</v>
      </c>
      <c r="D41" s="42" t="s">
        <v>7</v>
      </c>
    </row>
    <row r="42" spans="1:4" ht="13.5" thickBot="1" x14ac:dyDescent="0.25">
      <c r="A42" s="43">
        <v>46020</v>
      </c>
    </row>
    <row r="43" spans="1:4" ht="15.75" thickBot="1" x14ac:dyDescent="0.25">
      <c r="A43" s="12" t="s">
        <v>266</v>
      </c>
      <c r="B43" s="45">
        <v>140.49</v>
      </c>
      <c r="C43" s="45">
        <v>28.097999999999999</v>
      </c>
      <c r="D43" s="45">
        <v>168.58800000000002</v>
      </c>
    </row>
    <row r="44" spans="1:4" ht="15" x14ac:dyDescent="0.2">
      <c r="A44" s="12" t="s">
        <v>265</v>
      </c>
      <c r="B44" s="45">
        <v>22.61</v>
      </c>
      <c r="C44" s="45">
        <v>13.5648</v>
      </c>
      <c r="D44" s="45">
        <v>36.174799999999998</v>
      </c>
    </row>
    <row r="45" spans="1:4" ht="13.5" thickBot="1" x14ac:dyDescent="0.25"/>
    <row r="46" spans="1:4" ht="13.5" thickBot="1" x14ac:dyDescent="0.25">
      <c r="D46" s="46">
        <v>204.76280000000003</v>
      </c>
    </row>
    <row r="47" spans="1:4" x14ac:dyDescent="0.2">
      <c r="B47" s="47"/>
      <c r="C47" s="47"/>
      <c r="D47" s="47"/>
    </row>
    <row r="48" spans="1:4" x14ac:dyDescent="0.2">
      <c r="B48" s="47"/>
      <c r="C48" s="50"/>
      <c r="D48" s="47"/>
    </row>
    <row r="49" spans="2:4" x14ac:dyDescent="0.2">
      <c r="B49" s="47"/>
      <c r="C49" s="47"/>
      <c r="D49" s="47"/>
    </row>
    <row r="51" spans="2:4" x14ac:dyDescent="0.2">
      <c r="C51" s="8"/>
    </row>
    <row r="52" spans="2:4" ht="56.25" customHeight="1" x14ac:dyDescent="0.2">
      <c r="B52" s="40"/>
      <c r="C52" s="52" t="e" vm="1">
        <v>#VALUE!</v>
      </c>
      <c r="D52" s="2"/>
    </row>
    <row r="53" spans="2:4" ht="37.5" customHeight="1" x14ac:dyDescent="0.2">
      <c r="B53" s="2"/>
      <c r="C53" s="2"/>
      <c r="D53" s="2"/>
    </row>
  </sheetData>
  <pageMargins left="0.7" right="0.7" top="0.75" bottom="0.75" header="0.3" footer="0.3"/>
  <pageSetup scale="90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96D4-EF0E-4DDF-AF86-B4F3C0CB7B0F}">
  <sheetPr>
    <pageSetUpPr fitToPage="1"/>
  </sheetPr>
  <dimension ref="A1:F53"/>
  <sheetViews>
    <sheetView workbookViewId="0">
      <selection activeCell="A6" sqref="A6:D10"/>
    </sheetView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</cols>
  <sheetData>
    <row r="1" spans="1:6" ht="13.5" thickBot="1" x14ac:dyDescent="0.25"/>
    <row r="2" spans="1:6" ht="13.5" thickBot="1" x14ac:dyDescent="0.25">
      <c r="A2" s="11" t="s">
        <v>270</v>
      </c>
      <c r="B2" s="43">
        <v>46023</v>
      </c>
    </row>
    <row r="3" spans="1:6" x14ac:dyDescent="0.2">
      <c r="A3" s="11"/>
      <c r="B3" s="44"/>
    </row>
    <row r="4" spans="1:6" x14ac:dyDescent="0.2">
      <c r="D4" s="47"/>
    </row>
    <row r="5" spans="1:6" ht="13.5" thickBot="1" x14ac:dyDescent="0.25">
      <c r="A5" s="10"/>
      <c r="B5" s="44" t="s">
        <v>267</v>
      </c>
      <c r="C5" s="42" t="s">
        <v>268</v>
      </c>
      <c r="D5" s="42" t="s">
        <v>7</v>
      </c>
    </row>
    <row r="6" spans="1:6" ht="13.5" thickBot="1" x14ac:dyDescent="0.25">
      <c r="A6" s="43" t="s">
        <v>276</v>
      </c>
    </row>
    <row r="7" spans="1:6" ht="15.75" thickBot="1" x14ac:dyDescent="0.25">
      <c r="A7" s="12" t="s">
        <v>266</v>
      </c>
      <c r="B7" s="45">
        <v>561.96</v>
      </c>
      <c r="C7" s="45">
        <v>112.392</v>
      </c>
      <c r="D7" s="45">
        <v>674.35200000000009</v>
      </c>
    </row>
    <row r="8" spans="1:6" ht="15" x14ac:dyDescent="0.2">
      <c r="A8" s="12" t="s">
        <v>265</v>
      </c>
      <c r="B8" s="45">
        <v>209.12</v>
      </c>
      <c r="C8" s="45">
        <v>125.4744</v>
      </c>
      <c r="D8" s="45">
        <v>334.59440000000001</v>
      </c>
    </row>
    <row r="9" spans="1:6" ht="13.5" thickBot="1" x14ac:dyDescent="0.25"/>
    <row r="10" spans="1:6" ht="13.5" thickBot="1" x14ac:dyDescent="0.25">
      <c r="D10" s="48">
        <v>1008.9464</v>
      </c>
      <c r="F10">
        <v>1008.9464</v>
      </c>
    </row>
    <row r="11" spans="1:6" x14ac:dyDescent="0.2">
      <c r="D11" s="47"/>
    </row>
    <row r="12" spans="1:6" ht="13.5" thickBot="1" x14ac:dyDescent="0.25">
      <c r="A12" s="10"/>
      <c r="B12" s="44" t="s">
        <v>267</v>
      </c>
      <c r="C12" s="42" t="s">
        <v>268</v>
      </c>
      <c r="D12" s="42" t="s">
        <v>7</v>
      </c>
    </row>
    <row r="13" spans="1:6" ht="13.5" thickBot="1" x14ac:dyDescent="0.25">
      <c r="A13" s="43">
        <v>46027</v>
      </c>
    </row>
    <row r="14" spans="1:6" ht="15.75" thickBot="1" x14ac:dyDescent="0.25">
      <c r="A14" s="12" t="s">
        <v>266</v>
      </c>
      <c r="B14" s="45">
        <v>140.49</v>
      </c>
      <c r="C14" s="45">
        <v>28.097999999999999</v>
      </c>
      <c r="D14" s="45">
        <v>168.58800000000002</v>
      </c>
    </row>
    <row r="15" spans="1:6" ht="15" x14ac:dyDescent="0.2">
      <c r="A15" s="12" t="s">
        <v>265</v>
      </c>
      <c r="B15" s="45">
        <v>45.22</v>
      </c>
      <c r="C15" s="45">
        <v>27.1296</v>
      </c>
      <c r="D15" s="45">
        <v>72.349599999999995</v>
      </c>
    </row>
    <row r="16" spans="1:6" ht="13.5" thickBot="1" x14ac:dyDescent="0.25"/>
    <row r="17" spans="1:4" ht="13.5" thickBot="1" x14ac:dyDescent="0.25">
      <c r="D17" s="48">
        <v>240.93760000000003</v>
      </c>
    </row>
    <row r="19" spans="1:4" ht="15.75" thickBot="1" x14ac:dyDescent="0.3">
      <c r="A19" s="10"/>
      <c r="B19" s="49" t="s">
        <v>267</v>
      </c>
      <c r="C19" s="49" t="s">
        <v>268</v>
      </c>
      <c r="D19" s="42" t="s">
        <v>7</v>
      </c>
    </row>
    <row r="20" spans="1:4" ht="13.5" thickBot="1" x14ac:dyDescent="0.25">
      <c r="A20" s="43">
        <v>46034</v>
      </c>
    </row>
    <row r="21" spans="1:4" ht="15.75" thickBot="1" x14ac:dyDescent="0.25">
      <c r="A21" s="12" t="s">
        <v>266</v>
      </c>
      <c r="B21" s="45">
        <v>140.49</v>
      </c>
      <c r="C21" s="45">
        <v>28.097999999999999</v>
      </c>
      <c r="D21" s="45">
        <v>168.58800000000002</v>
      </c>
    </row>
    <row r="22" spans="1:4" ht="15" x14ac:dyDescent="0.2">
      <c r="A22" s="12" t="s">
        <v>265</v>
      </c>
      <c r="B22" s="45">
        <v>53.69</v>
      </c>
      <c r="C22" s="45">
        <v>32.2164</v>
      </c>
      <c r="D22" s="45">
        <v>85.906399999999991</v>
      </c>
    </row>
    <row r="23" spans="1:4" ht="13.5" thickBot="1" x14ac:dyDescent="0.25"/>
    <row r="24" spans="1:4" ht="13.5" thickBot="1" x14ac:dyDescent="0.25">
      <c r="D24" s="46">
        <v>254.49440000000001</v>
      </c>
    </row>
    <row r="27" spans="1:4" ht="15.75" thickBot="1" x14ac:dyDescent="0.3">
      <c r="B27" s="49" t="s">
        <v>267</v>
      </c>
      <c r="C27" s="49" t="s">
        <v>268</v>
      </c>
      <c r="D27" s="42" t="s">
        <v>7</v>
      </c>
    </row>
    <row r="28" spans="1:4" ht="13.5" thickBot="1" x14ac:dyDescent="0.25">
      <c r="A28" s="43">
        <v>46041</v>
      </c>
    </row>
    <row r="29" spans="1:4" ht="15.75" thickBot="1" x14ac:dyDescent="0.25">
      <c r="A29" s="12" t="s">
        <v>266</v>
      </c>
      <c r="B29" s="45">
        <v>140.49</v>
      </c>
      <c r="C29" s="45">
        <v>28.097999999999999</v>
      </c>
      <c r="D29" s="45">
        <v>168.58800000000002</v>
      </c>
    </row>
    <row r="30" spans="1:4" ht="15" x14ac:dyDescent="0.2">
      <c r="A30" s="12" t="s">
        <v>265</v>
      </c>
      <c r="B30" s="45">
        <v>56.52</v>
      </c>
      <c r="C30" s="45">
        <v>33.911999999999999</v>
      </c>
      <c r="D30" s="45">
        <v>90.432000000000002</v>
      </c>
    </row>
    <row r="31" spans="1:4" ht="15.75" thickBot="1" x14ac:dyDescent="0.25">
      <c r="A31" s="12"/>
    </row>
    <row r="32" spans="1:4" ht="13.5" thickBot="1" x14ac:dyDescent="0.25">
      <c r="D32" s="46">
        <v>259.02000000000004</v>
      </c>
    </row>
    <row r="34" spans="1:4" ht="15.75" thickBot="1" x14ac:dyDescent="0.3">
      <c r="A34" s="10"/>
      <c r="B34" s="49" t="s">
        <v>267</v>
      </c>
      <c r="C34" s="49" t="s">
        <v>268</v>
      </c>
      <c r="D34" s="42" t="s">
        <v>7</v>
      </c>
    </row>
    <row r="35" spans="1:4" ht="13.5" thickBot="1" x14ac:dyDescent="0.25">
      <c r="A35" s="43">
        <v>46048</v>
      </c>
    </row>
    <row r="36" spans="1:4" ht="15.75" thickBot="1" x14ac:dyDescent="0.25">
      <c r="A36" s="12" t="s">
        <v>266</v>
      </c>
      <c r="B36" s="45">
        <v>140.49</v>
      </c>
      <c r="C36" s="45">
        <v>28.097999999999999</v>
      </c>
      <c r="D36" s="45">
        <v>168.58800000000002</v>
      </c>
    </row>
    <row r="37" spans="1:4" ht="15" x14ac:dyDescent="0.2">
      <c r="A37" s="12" t="s">
        <v>265</v>
      </c>
      <c r="B37" s="45">
        <v>53.69</v>
      </c>
      <c r="C37" s="45">
        <v>32.2164</v>
      </c>
      <c r="D37" s="45">
        <v>85.906399999999991</v>
      </c>
    </row>
    <row r="38" spans="1:4" ht="12.75" customHeight="1" thickBot="1" x14ac:dyDescent="0.25">
      <c r="A38" s="12"/>
    </row>
    <row r="39" spans="1:4" ht="15.75" thickBot="1" x14ac:dyDescent="0.25">
      <c r="A39" s="12"/>
      <c r="D39" s="46">
        <v>254.49440000000001</v>
      </c>
    </row>
    <row r="41" spans="1:4" ht="15.75" thickBot="1" x14ac:dyDescent="0.3">
      <c r="A41" s="10"/>
      <c r="B41" s="49" t="s">
        <v>267</v>
      </c>
      <c r="C41" s="49" t="s">
        <v>268</v>
      </c>
      <c r="D41" s="42" t="s">
        <v>7</v>
      </c>
    </row>
    <row r="42" spans="1:4" ht="13.5" thickBot="1" x14ac:dyDescent="0.25">
      <c r="A42" s="43" t="s">
        <v>273</v>
      </c>
    </row>
    <row r="43" spans="1:4" ht="15.75" thickBot="1" x14ac:dyDescent="0.25">
      <c r="A43" s="12" t="s">
        <v>266</v>
      </c>
      <c r="B43" s="45">
        <v>0</v>
      </c>
      <c r="C43" s="45">
        <v>0</v>
      </c>
      <c r="D43" s="45">
        <v>0</v>
      </c>
    </row>
    <row r="44" spans="1:4" ht="15" x14ac:dyDescent="0.2">
      <c r="A44" s="12" t="s">
        <v>265</v>
      </c>
      <c r="B44" s="45">
        <v>0</v>
      </c>
      <c r="C44" s="45">
        <v>0</v>
      </c>
      <c r="D44" s="45">
        <v>0</v>
      </c>
    </row>
    <row r="45" spans="1:4" ht="13.5" thickBot="1" x14ac:dyDescent="0.25"/>
    <row r="46" spans="1:4" ht="13.5" thickBot="1" x14ac:dyDescent="0.25">
      <c r="D46" s="46">
        <v>0</v>
      </c>
    </row>
    <row r="47" spans="1:4" x14ac:dyDescent="0.2">
      <c r="B47" s="47"/>
      <c r="C47" s="47"/>
      <c r="D47" s="47"/>
    </row>
    <row r="48" spans="1:4" x14ac:dyDescent="0.2">
      <c r="B48" s="47"/>
      <c r="C48" s="50"/>
      <c r="D48" s="47"/>
    </row>
    <row r="49" spans="2:4" x14ac:dyDescent="0.2">
      <c r="B49" s="47"/>
      <c r="C49" s="47"/>
      <c r="D49" s="47"/>
    </row>
    <row r="51" spans="2:4" x14ac:dyDescent="0.2">
      <c r="C51" s="8"/>
    </row>
    <row r="52" spans="2:4" ht="56.25" customHeight="1" x14ac:dyDescent="0.2">
      <c r="B52" s="40"/>
      <c r="C52" s="52" t="e" vm="1">
        <v>#VALUE!</v>
      </c>
      <c r="D52" s="2"/>
    </row>
    <row r="53" spans="2:4" ht="37.5" customHeight="1" x14ac:dyDescent="0.2">
      <c r="B53" s="2"/>
      <c r="C53" s="2"/>
      <c r="D53" s="2"/>
    </row>
  </sheetData>
  <pageMargins left="0.7" right="0.7" top="0.75" bottom="0.75" header="0.3" footer="0.3"/>
  <pageSetup scale="90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85B6-0994-4673-BE5F-710D0CB64A14}">
  <sheetPr>
    <pageSetUpPr fitToPage="1"/>
  </sheetPr>
  <dimension ref="A1:F53"/>
  <sheetViews>
    <sheetView workbookViewId="0">
      <selection sqref="A1:XFD1048576"/>
    </sheetView>
  </sheetViews>
  <sheetFormatPr defaultRowHeight="12.75" x14ac:dyDescent="0.2"/>
  <cols>
    <col min="1" max="1" width="25.85546875" style="8" bestFit="1" customWidth="1"/>
    <col min="2" max="2" width="21" style="42" customWidth="1"/>
    <col min="3" max="3" width="26.42578125" style="42" customWidth="1"/>
    <col min="4" max="4" width="21.140625" style="42" customWidth="1"/>
    <col min="6" max="6" width="10.28515625" bestFit="1" customWidth="1"/>
  </cols>
  <sheetData>
    <row r="1" spans="1:6" ht="13.5" thickBot="1" x14ac:dyDescent="0.25"/>
    <row r="2" spans="1:6" ht="13.5" thickBot="1" x14ac:dyDescent="0.25">
      <c r="A2" s="11" t="s">
        <v>270</v>
      </c>
      <c r="B2" s="43">
        <f>'Number Input'!B2</f>
        <v>46023</v>
      </c>
    </row>
    <row r="3" spans="1:6" x14ac:dyDescent="0.2">
      <c r="A3" s="11"/>
      <c r="B3" s="44"/>
    </row>
    <row r="4" spans="1:6" x14ac:dyDescent="0.2">
      <c r="D4" s="47"/>
    </row>
    <row r="5" spans="1:6" ht="13.5" thickBot="1" x14ac:dyDescent="0.25">
      <c r="A5" s="10"/>
      <c r="B5" s="44" t="s">
        <v>267</v>
      </c>
      <c r="C5" s="42" t="s">
        <v>268</v>
      </c>
      <c r="D5" s="42" t="s">
        <v>7</v>
      </c>
    </row>
    <row r="6" spans="1:6" ht="13.5" thickBot="1" x14ac:dyDescent="0.25">
      <c r="A6" s="43" t="s">
        <v>276</v>
      </c>
    </row>
    <row r="7" spans="1:6" ht="15.75" thickBot="1" x14ac:dyDescent="0.25">
      <c r="A7" s="12" t="s">
        <v>266</v>
      </c>
      <c r="B7" s="45">
        <f>B14+B21+B29+B36+B43</f>
        <v>561.96</v>
      </c>
      <c r="C7" s="45">
        <f>C14+C21+C29+C36+C43</f>
        <v>112.392</v>
      </c>
      <c r="D7" s="45">
        <f>B7+C7</f>
        <v>674.35200000000009</v>
      </c>
    </row>
    <row r="8" spans="1:6" ht="15" x14ac:dyDescent="0.2">
      <c r="A8" s="12" t="s">
        <v>265</v>
      </c>
      <c r="B8" s="45">
        <f>B15+B22+B30+B37+B44</f>
        <v>209.12</v>
      </c>
      <c r="C8" s="45">
        <f>C15+C22+C30+C37+C44</f>
        <v>125.4744</v>
      </c>
      <c r="D8" s="45">
        <f>B8+C8</f>
        <v>334.59440000000001</v>
      </c>
    </row>
    <row r="9" spans="1:6" ht="13.5" thickBot="1" x14ac:dyDescent="0.25"/>
    <row r="10" spans="1:6" ht="13.5" thickBot="1" x14ac:dyDescent="0.25">
      <c r="D10" s="48">
        <f>D7+D8</f>
        <v>1008.9464</v>
      </c>
      <c r="F10" s="28">
        <f>D17+D24+D32+D39+D46</f>
        <v>1008.9464</v>
      </c>
    </row>
    <row r="11" spans="1:6" x14ac:dyDescent="0.2">
      <c r="D11" s="47"/>
    </row>
    <row r="12" spans="1:6" ht="13.5" thickBot="1" x14ac:dyDescent="0.25">
      <c r="A12" s="10"/>
      <c r="B12" s="44" t="s">
        <v>267</v>
      </c>
      <c r="C12" s="42" t="s">
        <v>268</v>
      </c>
      <c r="D12" s="42" t="s">
        <v>7</v>
      </c>
    </row>
    <row r="13" spans="1:6" ht="13.5" thickBot="1" x14ac:dyDescent="0.25">
      <c r="A13" s="43">
        <f>B2+IF(2 &lt; WEEKDAY(B2), 7 - WEEKDAY(B2) + 2, 2 - WEEKDAY(B2))</f>
        <v>46027</v>
      </c>
    </row>
    <row r="14" spans="1:6" ht="15.75" thickBot="1" x14ac:dyDescent="0.25">
      <c r="A14" s="12" t="s">
        <v>266</v>
      </c>
      <c r="B14" s="45">
        <f>'Number Input'!B14</f>
        <v>140.49</v>
      </c>
      <c r="C14" s="45">
        <f>'Number Input'!C14*0.03</f>
        <v>28.097999999999999</v>
      </c>
      <c r="D14" s="45">
        <f>B14+C14</f>
        <v>168.58800000000002</v>
      </c>
    </row>
    <row r="15" spans="1:6" ht="15" x14ac:dyDescent="0.2">
      <c r="A15" s="12" t="s">
        <v>265</v>
      </c>
      <c r="B15" s="45">
        <f>'Number Input'!B15</f>
        <v>45.22</v>
      </c>
      <c r="C15" s="45">
        <f>'Number Input'!C15*0.03</f>
        <v>27.1296</v>
      </c>
      <c r="D15" s="45">
        <f>B15+C15</f>
        <v>72.349599999999995</v>
      </c>
    </row>
    <row r="16" spans="1:6" ht="13.5" thickBot="1" x14ac:dyDescent="0.25"/>
    <row r="17" spans="1:4" ht="13.5" thickBot="1" x14ac:dyDescent="0.25">
      <c r="D17" s="48">
        <f>SUM(D14:D16)</f>
        <v>240.93760000000003</v>
      </c>
    </row>
    <row r="19" spans="1:4" ht="15.75" thickBot="1" x14ac:dyDescent="0.3">
      <c r="A19" s="10"/>
      <c r="B19" s="49" t="s">
        <v>267</v>
      </c>
      <c r="C19" s="49" t="s">
        <v>268</v>
      </c>
      <c r="D19" s="42" t="s">
        <v>7</v>
      </c>
    </row>
    <row r="20" spans="1:4" ht="13.5" thickBot="1" x14ac:dyDescent="0.25">
      <c r="A20" s="43">
        <f>A13+7</f>
        <v>46034</v>
      </c>
    </row>
    <row r="21" spans="1:4" ht="15.75" thickBot="1" x14ac:dyDescent="0.25">
      <c r="A21" s="12" t="s">
        <v>266</v>
      </c>
      <c r="B21" s="45">
        <f>'Number Input'!B20</f>
        <v>140.49</v>
      </c>
      <c r="C21" s="45">
        <f>'Number Input'!C20*0.03</f>
        <v>28.097999999999999</v>
      </c>
      <c r="D21" s="45">
        <f>B21+C21</f>
        <v>168.58800000000002</v>
      </c>
    </row>
    <row r="22" spans="1:4" ht="15" x14ac:dyDescent="0.2">
      <c r="A22" s="12" t="s">
        <v>265</v>
      </c>
      <c r="B22" s="45">
        <f>'Number Input'!B21</f>
        <v>53.69</v>
      </c>
      <c r="C22" s="45">
        <f>'Number Input'!C21*0.03</f>
        <v>32.2164</v>
      </c>
      <c r="D22" s="45">
        <f>B22+C22</f>
        <v>85.906399999999991</v>
      </c>
    </row>
    <row r="23" spans="1:4" ht="13.5" thickBot="1" x14ac:dyDescent="0.25"/>
    <row r="24" spans="1:4" ht="13.5" thickBot="1" x14ac:dyDescent="0.25">
      <c r="D24" s="46">
        <f>SUM(D21:D23)</f>
        <v>254.49440000000001</v>
      </c>
    </row>
    <row r="27" spans="1:4" ht="15.75" thickBot="1" x14ac:dyDescent="0.3">
      <c r="B27" s="49" t="s">
        <v>267</v>
      </c>
      <c r="C27" s="49" t="s">
        <v>268</v>
      </c>
      <c r="D27" s="42" t="s">
        <v>7</v>
      </c>
    </row>
    <row r="28" spans="1:4" ht="13.5" thickBot="1" x14ac:dyDescent="0.25">
      <c r="A28" s="43">
        <f>A20+7</f>
        <v>46041</v>
      </c>
    </row>
    <row r="29" spans="1:4" ht="15.75" thickBot="1" x14ac:dyDescent="0.25">
      <c r="A29" s="12" t="s">
        <v>266</v>
      </c>
      <c r="B29" s="45">
        <f>'Number Input'!B28</f>
        <v>140.49</v>
      </c>
      <c r="C29" s="45">
        <f>'Number Input'!C28*0.03</f>
        <v>28.097999999999999</v>
      </c>
      <c r="D29" s="45">
        <f>B29+C29</f>
        <v>168.58800000000002</v>
      </c>
    </row>
    <row r="30" spans="1:4" ht="15" x14ac:dyDescent="0.2">
      <c r="A30" s="12" t="s">
        <v>265</v>
      </c>
      <c r="B30" s="45">
        <f>'Number Input'!B29</f>
        <v>56.52</v>
      </c>
      <c r="C30" s="45">
        <f>'Number Input'!C29*0.03</f>
        <v>33.911999999999999</v>
      </c>
      <c r="D30" s="45">
        <f>B30+C30</f>
        <v>90.432000000000002</v>
      </c>
    </row>
    <row r="31" spans="1:4" ht="15.75" thickBot="1" x14ac:dyDescent="0.25">
      <c r="A31" s="12"/>
    </row>
    <row r="32" spans="1:4" ht="13.5" thickBot="1" x14ac:dyDescent="0.25">
      <c r="D32" s="46">
        <f>SUM(D29:D31)</f>
        <v>259.02000000000004</v>
      </c>
    </row>
    <row r="34" spans="1:4" ht="15.75" thickBot="1" x14ac:dyDescent="0.3">
      <c r="A34" s="10"/>
      <c r="B34" s="49" t="s">
        <v>267</v>
      </c>
      <c r="C34" s="49" t="s">
        <v>268</v>
      </c>
      <c r="D34" s="42" t="s">
        <v>7</v>
      </c>
    </row>
    <row r="35" spans="1:4" ht="13.5" thickBot="1" x14ac:dyDescent="0.25">
      <c r="A35" s="43">
        <f>A28+7</f>
        <v>46048</v>
      </c>
    </row>
    <row r="36" spans="1:4" ht="15.75" thickBot="1" x14ac:dyDescent="0.25">
      <c r="A36" s="12" t="s">
        <v>266</v>
      </c>
      <c r="B36" s="45">
        <f>'Number Input'!B36</f>
        <v>140.49</v>
      </c>
      <c r="C36" s="45">
        <f>'Number Input'!C36*0.03</f>
        <v>28.097999999999999</v>
      </c>
      <c r="D36" s="45">
        <f>B36+C36</f>
        <v>168.58800000000002</v>
      </c>
    </row>
    <row r="37" spans="1:4" ht="15" x14ac:dyDescent="0.2">
      <c r="A37" s="12" t="s">
        <v>265</v>
      </c>
      <c r="B37" s="45">
        <f>'Number Input'!B37</f>
        <v>53.69</v>
      </c>
      <c r="C37" s="45">
        <f>'Number Input'!C37*0.03</f>
        <v>32.2164</v>
      </c>
      <c r="D37" s="45">
        <f>B37+C37</f>
        <v>85.906399999999991</v>
      </c>
    </row>
    <row r="38" spans="1:4" ht="12.75" customHeight="1" thickBot="1" x14ac:dyDescent="0.25">
      <c r="A38" s="12"/>
    </row>
    <row r="39" spans="1:4" ht="15.75" thickBot="1" x14ac:dyDescent="0.25">
      <c r="A39" s="12"/>
      <c r="D39" s="46">
        <f>SUM(D36:D38)</f>
        <v>254.49440000000001</v>
      </c>
    </row>
    <row r="41" spans="1:4" ht="15.75" thickBot="1" x14ac:dyDescent="0.3">
      <c r="A41" s="10"/>
      <c r="B41" s="49" t="s">
        <v>267</v>
      </c>
      <c r="C41" s="49" t="s">
        <v>268</v>
      </c>
      <c r="D41" s="42" t="s">
        <v>7</v>
      </c>
    </row>
    <row r="42" spans="1:4" ht="13.5" thickBot="1" x14ac:dyDescent="0.25">
      <c r="A42" s="43" t="str">
        <f>IF(MONTH(B2)=MONTH(A35+7),A35+7,"No Week 5 Paycheck")</f>
        <v>No Week 5 Paycheck</v>
      </c>
    </row>
    <row r="43" spans="1:4" ht="15.75" thickBot="1" x14ac:dyDescent="0.25">
      <c r="A43" s="12" t="s">
        <v>266</v>
      </c>
      <c r="B43" s="45">
        <f>'Number Input'!B43</f>
        <v>0</v>
      </c>
      <c r="C43" s="45">
        <f>'Number Input'!C43*0.03</f>
        <v>0</v>
      </c>
      <c r="D43" s="45">
        <f>B43+C43</f>
        <v>0</v>
      </c>
    </row>
    <row r="44" spans="1:4" ht="15" x14ac:dyDescent="0.2">
      <c r="A44" s="12" t="s">
        <v>265</v>
      </c>
      <c r="B44" s="45">
        <f>'Number Input'!B44</f>
        <v>0</v>
      </c>
      <c r="C44" s="45">
        <f>'Number Input'!C44*0.03</f>
        <v>0</v>
      </c>
      <c r="D44" s="45">
        <f>B44+C44</f>
        <v>0</v>
      </c>
    </row>
    <row r="46" spans="1:4" x14ac:dyDescent="0.2">
      <c r="D46" s="62">
        <f>SUM(D43:D45)</f>
        <v>0</v>
      </c>
    </row>
    <row r="47" spans="1:4" x14ac:dyDescent="0.2">
      <c r="B47" s="47"/>
      <c r="C47" s="47"/>
      <c r="D47" s="47"/>
    </row>
    <row r="48" spans="1:4" x14ac:dyDescent="0.2">
      <c r="B48" s="47"/>
      <c r="C48" s="50"/>
      <c r="D48" s="47"/>
    </row>
    <row r="49" spans="2:4" x14ac:dyDescent="0.2">
      <c r="B49" s="47"/>
      <c r="C49" s="47"/>
      <c r="D49" s="47"/>
    </row>
    <row r="51" spans="2:4" x14ac:dyDescent="0.2">
      <c r="C51" s="8"/>
    </row>
    <row r="52" spans="2:4" ht="56.25" customHeight="1" x14ac:dyDescent="0.2">
      <c r="B52" s="40"/>
      <c r="C52" s="40" t="e" vm="1">
        <v>#VALUE!</v>
      </c>
      <c r="D52" s="2"/>
    </row>
    <row r="53" spans="2:4" ht="37.5" customHeight="1" x14ac:dyDescent="0.2">
      <c r="B53" s="2"/>
      <c r="C53" s="2"/>
      <c r="D53" s="2"/>
    </row>
  </sheetData>
  <pageMargins left="0.7" right="0.7" top="0.75" bottom="0.75" header="0.3" footer="0.3"/>
  <pageSetup scale="96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8902-48A2-421C-B71C-A903E97BFEA1}">
  <dimension ref="A1:C48"/>
  <sheetViews>
    <sheetView topLeftCell="A12" workbookViewId="0">
      <selection activeCell="B38" sqref="B38"/>
    </sheetView>
  </sheetViews>
  <sheetFormatPr defaultRowHeight="12.75" x14ac:dyDescent="0.2"/>
  <cols>
    <col min="1" max="1" width="25.85546875" style="8" bestFit="1" customWidth="1"/>
    <col min="2" max="2" width="21" style="9" customWidth="1"/>
    <col min="3" max="3" width="26.42578125" style="9" customWidth="1"/>
  </cols>
  <sheetData>
    <row r="1" spans="1:3" ht="13.5" thickBot="1" x14ac:dyDescent="0.25"/>
    <row r="2" spans="1:3" ht="13.5" thickBot="1" x14ac:dyDescent="0.25">
      <c r="A2" s="11" t="s">
        <v>270</v>
      </c>
      <c r="B2" s="25">
        <v>46023</v>
      </c>
    </row>
    <row r="3" spans="1:3" ht="15" x14ac:dyDescent="0.25">
      <c r="A3" s="10"/>
      <c r="B3" s="34"/>
      <c r="C3" s="34"/>
    </row>
    <row r="4" spans="1:3" x14ac:dyDescent="0.2">
      <c r="B4" s="42"/>
      <c r="C4" s="42"/>
    </row>
    <row r="5" spans="1:3" ht="13.5" thickBot="1" x14ac:dyDescent="0.25">
      <c r="A5" s="10"/>
      <c r="B5" s="44" t="s">
        <v>267</v>
      </c>
      <c r="C5" s="42" t="s">
        <v>268</v>
      </c>
    </row>
    <row r="6" spans="1:3" ht="13.5" thickBot="1" x14ac:dyDescent="0.25">
      <c r="A6" s="43" t="s">
        <v>276</v>
      </c>
      <c r="B6" s="42"/>
      <c r="C6" s="42"/>
    </row>
    <row r="7" spans="1:3" ht="15.75" thickBot="1" x14ac:dyDescent="0.25">
      <c r="A7" s="12" t="s">
        <v>266</v>
      </c>
      <c r="B7" s="63">
        <f>B15+B21+B28+B36+B43</f>
        <v>379.89</v>
      </c>
      <c r="C7" s="63">
        <f>C15+C21+C28+C36+C43</f>
        <v>3851.4</v>
      </c>
    </row>
    <row r="8" spans="1:3" ht="15" x14ac:dyDescent="0.2">
      <c r="A8" s="12" t="s">
        <v>265</v>
      </c>
      <c r="B8" s="63">
        <f>B15+B21+B29+B37+B44</f>
        <v>209.12</v>
      </c>
      <c r="C8" s="63">
        <f>C15+C21+C29+C37+C44</f>
        <v>4182.4800000000005</v>
      </c>
    </row>
    <row r="9" spans="1:3" x14ac:dyDescent="0.2">
      <c r="B9" s="42"/>
      <c r="C9" s="42"/>
    </row>
    <row r="10" spans="1:3" x14ac:dyDescent="0.2">
      <c r="B10" s="42"/>
      <c r="C10" s="42"/>
    </row>
    <row r="11" spans="1:3" ht="15" x14ac:dyDescent="0.25">
      <c r="A11" s="10"/>
      <c r="B11" s="34"/>
      <c r="C11" s="34"/>
    </row>
    <row r="12" spans="1:3" ht="13.5" thickBot="1" x14ac:dyDescent="0.25">
      <c r="B12" s="9" t="s">
        <v>267</v>
      </c>
      <c r="C12" s="9" t="s">
        <v>268</v>
      </c>
    </row>
    <row r="13" spans="1:3" ht="13.5" thickBot="1" x14ac:dyDescent="0.25">
      <c r="A13" s="25">
        <f>B2+IF(2 &lt; WEEKDAY(B2), 7 - WEEKDAY(B2) + 2, 2 - WEEKDAY(B2))</f>
        <v>46027</v>
      </c>
    </row>
    <row r="14" spans="1:3" ht="15.75" thickBot="1" x14ac:dyDescent="0.25">
      <c r="A14" s="12" t="s">
        <v>266</v>
      </c>
      <c r="B14" s="17">
        <v>140.49</v>
      </c>
      <c r="C14" s="18">
        <v>936.6</v>
      </c>
    </row>
    <row r="15" spans="1:3" x14ac:dyDescent="0.2">
      <c r="A15" s="8" t="s">
        <v>265</v>
      </c>
      <c r="B15" s="23">
        <v>45.22</v>
      </c>
      <c r="C15" s="18">
        <v>904.32</v>
      </c>
    </row>
    <row r="19" spans="1:3" ht="13.5" thickBot="1" x14ac:dyDescent="0.25">
      <c r="B19" s="9" t="s">
        <v>267</v>
      </c>
      <c r="C19" s="9" t="s">
        <v>268</v>
      </c>
    </row>
    <row r="20" spans="1:3" ht="13.5" thickBot="1" x14ac:dyDescent="0.25">
      <c r="A20" s="25">
        <f>A13+7</f>
        <v>46034</v>
      </c>
      <c r="B20" s="17">
        <v>140.49</v>
      </c>
      <c r="C20" s="18">
        <v>936.6</v>
      </c>
    </row>
    <row r="21" spans="1:3" ht="15" x14ac:dyDescent="0.2">
      <c r="A21" s="12" t="s">
        <v>266</v>
      </c>
      <c r="B21" s="23">
        <v>53.69</v>
      </c>
      <c r="C21" s="18">
        <v>1073.8800000000001</v>
      </c>
    </row>
    <row r="22" spans="1:3" x14ac:dyDescent="0.2">
      <c r="A22" s="8" t="s">
        <v>265</v>
      </c>
      <c r="B22" s="41"/>
    </row>
    <row r="26" spans="1:3" ht="15.75" thickBot="1" x14ac:dyDescent="0.3">
      <c r="B26" s="34" t="s">
        <v>267</v>
      </c>
      <c r="C26" s="34" t="s">
        <v>268</v>
      </c>
    </row>
    <row r="27" spans="1:3" ht="13.5" thickBot="1" x14ac:dyDescent="0.25">
      <c r="A27" s="25">
        <f>A20+7</f>
        <v>46041</v>
      </c>
    </row>
    <row r="28" spans="1:3" ht="15.75" thickBot="1" x14ac:dyDescent="0.25">
      <c r="A28" s="12" t="s">
        <v>266</v>
      </c>
      <c r="B28" s="17">
        <v>140.49</v>
      </c>
      <c r="C28" s="18">
        <v>936.6</v>
      </c>
    </row>
    <row r="29" spans="1:3" ht="15" x14ac:dyDescent="0.2">
      <c r="A29" s="12" t="s">
        <v>265</v>
      </c>
      <c r="B29" s="23">
        <v>56.52</v>
      </c>
      <c r="C29" s="18">
        <v>1130.4000000000001</v>
      </c>
    </row>
    <row r="30" spans="1:3" ht="12.75" customHeight="1" x14ac:dyDescent="0.2">
      <c r="A30" s="12"/>
      <c r="B30" s="26"/>
      <c r="C30" s="26"/>
    </row>
    <row r="33" spans="1:3" ht="15" x14ac:dyDescent="0.25">
      <c r="A33" s="10"/>
      <c r="B33" s="34"/>
      <c r="C33" s="34"/>
    </row>
    <row r="34" spans="1:3" ht="13.5" thickBot="1" x14ac:dyDescent="0.25">
      <c r="B34" s="9" t="s">
        <v>267</v>
      </c>
      <c r="C34" s="9" t="s">
        <v>268</v>
      </c>
    </row>
    <row r="35" spans="1:3" ht="13.5" thickBot="1" x14ac:dyDescent="0.25">
      <c r="A35" s="25">
        <f>A27+7</f>
        <v>46048</v>
      </c>
      <c r="B35" s="17"/>
      <c r="C35" s="18"/>
    </row>
    <row r="36" spans="1:3" ht="15" x14ac:dyDescent="0.2">
      <c r="A36" s="12" t="s">
        <v>266</v>
      </c>
      <c r="B36" s="23">
        <v>140.49</v>
      </c>
      <c r="C36" s="18">
        <v>936.6</v>
      </c>
    </row>
    <row r="37" spans="1:3" ht="15" x14ac:dyDescent="0.2">
      <c r="A37" s="12" t="s">
        <v>265</v>
      </c>
      <c r="B37" s="26">
        <v>53.69</v>
      </c>
      <c r="C37" s="26">
        <v>1073.8800000000001</v>
      </c>
    </row>
    <row r="38" spans="1:3" ht="15" x14ac:dyDescent="0.2">
      <c r="A38" s="12"/>
      <c r="B38" s="26"/>
      <c r="C38" s="26"/>
    </row>
    <row r="40" spans="1:3" ht="15" x14ac:dyDescent="0.25">
      <c r="A40" s="10"/>
      <c r="B40" s="34"/>
      <c r="C40" s="34"/>
    </row>
    <row r="41" spans="1:3" ht="13.5" thickBot="1" x14ac:dyDescent="0.25">
      <c r="A41" s="51"/>
      <c r="B41" s="9" t="s">
        <v>267</v>
      </c>
      <c r="C41" s="9" t="s">
        <v>268</v>
      </c>
    </row>
    <row r="42" spans="1:3" ht="13.5" thickBot="1" x14ac:dyDescent="0.25">
      <c r="A42" s="25" t="str">
        <f>IF(MONTH(B2)=MONTH(A35+7),A35+7,"No Week 5 Paycheck")</f>
        <v>No Week 5 Paycheck</v>
      </c>
    </row>
    <row r="43" spans="1:3" ht="15.75" thickBot="1" x14ac:dyDescent="0.25">
      <c r="A43" s="12" t="s">
        <v>266</v>
      </c>
      <c r="B43" s="45"/>
      <c r="C43" s="45"/>
    </row>
    <row r="44" spans="1:3" ht="15" x14ac:dyDescent="0.2">
      <c r="A44" s="12" t="s">
        <v>265</v>
      </c>
      <c r="B44" s="45"/>
      <c r="C44" s="45"/>
    </row>
    <row r="45" spans="1:3" ht="15" x14ac:dyDescent="0.2">
      <c r="A45" s="12"/>
      <c r="B45" s="26"/>
      <c r="C45" s="26"/>
    </row>
    <row r="48" spans="1:3" x14ac:dyDescent="0.2">
      <c r="C48" s="9" t="s">
        <v>269</v>
      </c>
    </row>
  </sheetData>
  <pageMargins left="0.7" right="0.7" top="0.75" bottom="0.75" header="0.3" footer="0.3"/>
  <pageSetup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C0E7-EA55-4300-A029-07E63FA0FE34}">
  <dimension ref="A1:D36"/>
  <sheetViews>
    <sheetView workbookViewId="0">
      <selection activeCell="C36" sqref="C36"/>
    </sheetView>
  </sheetViews>
  <sheetFormatPr defaultRowHeight="12.75" x14ac:dyDescent="0.2"/>
  <cols>
    <col min="1" max="1" width="26" bestFit="1" customWidth="1"/>
    <col min="2" max="2" width="23.42578125" bestFit="1" customWidth="1"/>
    <col min="3" max="3" width="26.28515625" bestFit="1" customWidth="1"/>
    <col min="4" max="4" width="12.42578125" style="9" bestFit="1" customWidth="1"/>
  </cols>
  <sheetData>
    <row r="1" spans="1:4" ht="13.5" thickBot="1" x14ac:dyDescent="0.25">
      <c r="A1" s="10"/>
      <c r="B1" s="44" t="s">
        <v>267</v>
      </c>
      <c r="C1" s="42" t="s">
        <v>268</v>
      </c>
      <c r="D1" s="42" t="s">
        <v>7</v>
      </c>
    </row>
    <row r="2" spans="1:4" ht="13.5" thickBot="1" x14ac:dyDescent="0.25">
      <c r="A2" s="43" t="s">
        <v>277</v>
      </c>
      <c r="B2" s="42"/>
      <c r="C2" s="42"/>
      <c r="D2" s="42"/>
    </row>
    <row r="3" spans="1:4" ht="15.75" thickBot="1" x14ac:dyDescent="0.25">
      <c r="A3" s="12" t="s">
        <v>266</v>
      </c>
      <c r="B3" s="45">
        <v>650.97</v>
      </c>
      <c r="C3" s="45">
        <f>4340.45*0.03+51.09</f>
        <v>181.30349999999999</v>
      </c>
      <c r="D3" s="45">
        <f>SUM(B3:C3)</f>
        <v>832.27350000000001</v>
      </c>
    </row>
    <row r="4" spans="1:4" ht="15" x14ac:dyDescent="0.2">
      <c r="A4" s="12" t="s">
        <v>265</v>
      </c>
      <c r="B4" s="45">
        <v>275.10000000000002</v>
      </c>
      <c r="C4" s="45">
        <f>5502*0.03+51.09</f>
        <v>216.15</v>
      </c>
      <c r="D4" s="45">
        <f>SUM(B4:C4)</f>
        <v>491.25</v>
      </c>
    </row>
    <row r="5" spans="1:4" ht="13.5" thickBot="1" x14ac:dyDescent="0.25">
      <c r="A5" s="8"/>
      <c r="B5" s="42"/>
      <c r="C5" s="42"/>
      <c r="D5" s="42"/>
    </row>
    <row r="6" spans="1:4" ht="13.5" thickBot="1" x14ac:dyDescent="0.25">
      <c r="A6" s="8"/>
      <c r="B6" s="42"/>
      <c r="C6" s="42"/>
      <c r="D6" s="48">
        <f>SUM(D3:D5)</f>
        <v>1323.5235</v>
      </c>
    </row>
    <row r="9" spans="1:4" ht="13.5" thickBot="1" x14ac:dyDescent="0.25">
      <c r="A9" s="10"/>
      <c r="B9" s="44" t="s">
        <v>267</v>
      </c>
      <c r="C9" s="42" t="s">
        <v>268</v>
      </c>
      <c r="D9" s="42" t="s">
        <v>7</v>
      </c>
    </row>
    <row r="10" spans="1:4" ht="13.5" thickBot="1" x14ac:dyDescent="0.25">
      <c r="A10" s="43" t="s">
        <v>278</v>
      </c>
      <c r="B10" s="42"/>
      <c r="C10" s="42"/>
      <c r="D10" s="42"/>
    </row>
    <row r="11" spans="1:4" ht="15.75" thickBot="1" x14ac:dyDescent="0.25">
      <c r="A11" s="12" t="s">
        <v>266</v>
      </c>
      <c r="B11" s="45">
        <v>551.42000000000007</v>
      </c>
      <c r="C11" s="45">
        <f>3676.16*0.03+51.09</f>
        <v>161.37479999999999</v>
      </c>
      <c r="D11" s="45">
        <f>B11+C11</f>
        <v>712.79480000000012</v>
      </c>
    </row>
    <row r="12" spans="1:4" ht="15" x14ac:dyDescent="0.2">
      <c r="A12" s="12" t="s">
        <v>265</v>
      </c>
      <c r="B12" s="45">
        <v>224.67000000000002</v>
      </c>
      <c r="C12" s="45">
        <f>183.79+51.08</f>
        <v>234.87</v>
      </c>
      <c r="D12" s="45">
        <f>B12+C12</f>
        <v>459.54</v>
      </c>
    </row>
    <row r="13" spans="1:4" ht="13.5" thickBot="1" x14ac:dyDescent="0.25">
      <c r="A13" s="8"/>
      <c r="B13" s="42"/>
      <c r="C13" s="42"/>
      <c r="D13" s="42"/>
    </row>
    <row r="14" spans="1:4" ht="13.5" thickBot="1" x14ac:dyDescent="0.25">
      <c r="A14" s="8"/>
      <c r="B14" s="42"/>
      <c r="C14" s="42"/>
      <c r="D14" s="48">
        <f>SUM(D11:D13)</f>
        <v>1172.3348000000001</v>
      </c>
    </row>
    <row r="17" spans="1:4" ht="13.5" thickBot="1" x14ac:dyDescent="0.25">
      <c r="A17" s="10"/>
      <c r="B17" s="44" t="s">
        <v>267</v>
      </c>
      <c r="C17" s="42" t="s">
        <v>268</v>
      </c>
      <c r="D17" s="42" t="s">
        <v>7</v>
      </c>
    </row>
    <row r="18" spans="1:4" ht="13.5" thickBot="1" x14ac:dyDescent="0.25">
      <c r="A18" s="43" t="s">
        <v>279</v>
      </c>
      <c r="B18" s="42"/>
      <c r="C18" s="42"/>
      <c r="D18" s="42"/>
    </row>
    <row r="19" spans="1:4" ht="15.75" thickBot="1" x14ac:dyDescent="0.25">
      <c r="A19" s="12" t="s">
        <v>266</v>
      </c>
      <c r="B19" s="45">
        <v>561.96</v>
      </c>
      <c r="C19" s="45">
        <f>'August 2025'!C8*0.03+51.08</f>
        <v>169.34809999999999</v>
      </c>
      <c r="D19" s="45">
        <f>B19+C19</f>
        <v>731.30809999999997</v>
      </c>
    </row>
    <row r="20" spans="1:4" ht="15" x14ac:dyDescent="0.2">
      <c r="A20" s="12" t="s">
        <v>265</v>
      </c>
      <c r="B20" s="45">
        <v>197.11</v>
      </c>
      <c r="C20" s="45">
        <f>161.49+51.08</f>
        <v>212.57</v>
      </c>
      <c r="D20" s="45">
        <f>B20+C20</f>
        <v>409.68</v>
      </c>
    </row>
    <row r="21" spans="1:4" ht="13.5" thickBot="1" x14ac:dyDescent="0.25">
      <c r="A21" s="8"/>
      <c r="B21" s="42"/>
      <c r="C21" s="42"/>
      <c r="D21" s="42"/>
    </row>
    <row r="22" spans="1:4" ht="13.5" thickBot="1" x14ac:dyDescent="0.25">
      <c r="A22" s="8"/>
      <c r="B22" s="42"/>
      <c r="C22" s="42"/>
      <c r="D22" s="48">
        <f>SUM(D19:D21)</f>
        <v>1140.9881</v>
      </c>
    </row>
    <row r="26" spans="1:4" x14ac:dyDescent="0.2">
      <c r="A26" s="53" t="s">
        <v>280</v>
      </c>
      <c r="B26" s="53"/>
      <c r="C26" s="53"/>
      <c r="D26" s="54"/>
    </row>
    <row r="27" spans="1:4" ht="13.5" thickBot="1" x14ac:dyDescent="0.25">
      <c r="A27" s="55"/>
      <c r="B27" s="56" t="s">
        <v>267</v>
      </c>
      <c r="C27" s="57" t="s">
        <v>268</v>
      </c>
      <c r="D27" s="57" t="s">
        <v>7</v>
      </c>
    </row>
    <row r="28" spans="1:4" ht="13.5" thickBot="1" x14ac:dyDescent="0.25">
      <c r="A28" s="58" t="s">
        <v>280</v>
      </c>
      <c r="B28" s="57"/>
      <c r="C28" s="57"/>
      <c r="D28" s="57"/>
    </row>
    <row r="29" spans="1:4" ht="15.75" thickBot="1" x14ac:dyDescent="0.25">
      <c r="A29" s="59" t="s">
        <v>266</v>
      </c>
      <c r="B29" s="60">
        <f>B3+B11+B19</f>
        <v>1764.3500000000001</v>
      </c>
      <c r="C29" s="60">
        <f>C3+C11+C19</f>
        <v>512.02639999999997</v>
      </c>
      <c r="D29" s="60">
        <f>C29+B29</f>
        <v>2276.3764000000001</v>
      </c>
    </row>
    <row r="30" spans="1:4" ht="15" x14ac:dyDescent="0.2">
      <c r="A30" s="59" t="s">
        <v>265</v>
      </c>
      <c r="B30" s="60">
        <f>B4+B12+B20</f>
        <v>696.88000000000011</v>
      </c>
      <c r="C30" s="60">
        <f>C4+C12+C20</f>
        <v>663.58999999999992</v>
      </c>
      <c r="D30" s="60">
        <f>C30+B30</f>
        <v>1360.47</v>
      </c>
    </row>
    <row r="31" spans="1:4" ht="13.5" thickBot="1" x14ac:dyDescent="0.25">
      <c r="A31" s="61"/>
      <c r="B31" s="57"/>
      <c r="C31" s="57"/>
      <c r="D31" s="57"/>
    </row>
    <row r="32" spans="1:4" x14ac:dyDescent="0.2">
      <c r="A32" s="61"/>
      <c r="B32" s="57"/>
      <c r="C32" s="57"/>
      <c r="D32" s="60">
        <f>D29+D30</f>
        <v>3636.8464000000004</v>
      </c>
    </row>
    <row r="33" spans="1:4" x14ac:dyDescent="0.2">
      <c r="A33" s="53"/>
      <c r="B33" s="53"/>
      <c r="C33" s="53"/>
      <c r="D33" s="54"/>
    </row>
    <row r="34" spans="1:4" x14ac:dyDescent="0.2">
      <c r="A34" s="53"/>
      <c r="B34" s="53"/>
      <c r="C34" s="53"/>
      <c r="D34" s="54"/>
    </row>
    <row r="36" spans="1:4" ht="66.75" customHeight="1" x14ac:dyDescent="0.2">
      <c r="C36" s="40" t="e" vm="1">
        <v>#VALUE!</v>
      </c>
    </row>
  </sheetData>
  <pageMargins left="0.7" right="0.7" top="0.75" bottom="0.75" header="0.3" footer="0.3"/>
  <pageSetup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29F6-F2F9-48C6-A859-12022B99956D}">
  <sheetPr>
    <pageSetUpPr fitToPage="1"/>
  </sheetPr>
  <dimension ref="A1:D29"/>
  <sheetViews>
    <sheetView tabSelected="1" workbookViewId="0">
      <selection activeCell="C21" sqref="C21"/>
    </sheetView>
  </sheetViews>
  <sheetFormatPr defaultRowHeight="12.75" x14ac:dyDescent="0.2"/>
  <cols>
    <col min="1" max="1" width="27.140625" bestFit="1" customWidth="1"/>
    <col min="2" max="2" width="23.85546875" style="9" bestFit="1" customWidth="1"/>
    <col min="3" max="3" width="27" style="9" bestFit="1" customWidth="1"/>
    <col min="4" max="4" width="33.5703125" style="9" customWidth="1"/>
  </cols>
  <sheetData>
    <row r="1" spans="1:4" x14ac:dyDescent="0.2">
      <c r="A1" s="67">
        <v>45931</v>
      </c>
    </row>
    <row r="2" spans="1:4" x14ac:dyDescent="0.2">
      <c r="A2" s="67"/>
      <c r="B2" s="70" t="s">
        <v>267</v>
      </c>
      <c r="C2" s="70" t="s">
        <v>268</v>
      </c>
      <c r="D2" s="70" t="s">
        <v>7</v>
      </c>
    </row>
    <row r="3" spans="1:4" x14ac:dyDescent="0.2">
      <c r="A3" s="64" t="s">
        <v>266</v>
      </c>
      <c r="B3" s="16">
        <v>561.96</v>
      </c>
      <c r="C3" s="16">
        <v>112.39</v>
      </c>
      <c r="D3" s="16">
        <f>SUM(B3:C3)</f>
        <v>674.35</v>
      </c>
    </row>
    <row r="4" spans="1:4" x14ac:dyDescent="0.2">
      <c r="A4" s="64" t="s">
        <v>265</v>
      </c>
      <c r="B4" s="16">
        <v>220.43</v>
      </c>
      <c r="C4" s="16">
        <v>132.26</v>
      </c>
      <c r="D4" s="16">
        <f>SUM(B4:C4)</f>
        <v>352.69</v>
      </c>
    </row>
    <row r="5" spans="1:4" x14ac:dyDescent="0.2">
      <c r="A5" s="65" t="s">
        <v>282</v>
      </c>
      <c r="B5" s="16"/>
      <c r="C5" s="16"/>
      <c r="D5" s="66">
        <f>SUM(D3:D4)</f>
        <v>1027.04</v>
      </c>
    </row>
    <row r="8" spans="1:4" x14ac:dyDescent="0.2">
      <c r="A8" s="67">
        <v>45962</v>
      </c>
    </row>
    <row r="9" spans="1:4" x14ac:dyDescent="0.2">
      <c r="A9" s="64" t="s">
        <v>266</v>
      </c>
      <c r="B9" s="16">
        <v>561.96</v>
      </c>
      <c r="C9" s="16">
        <v>112.39</v>
      </c>
      <c r="D9" s="16">
        <f>SUM(B9:C9)</f>
        <v>674.35</v>
      </c>
    </row>
    <row r="10" spans="1:4" x14ac:dyDescent="0.2">
      <c r="A10" s="64" t="s">
        <v>265</v>
      </c>
      <c r="B10" s="16">
        <v>221.84000000000003</v>
      </c>
      <c r="C10" s="16">
        <v>133.1</v>
      </c>
      <c r="D10" s="16">
        <f>SUM(B10:C10)</f>
        <v>354.94000000000005</v>
      </c>
    </row>
    <row r="11" spans="1:4" x14ac:dyDescent="0.2">
      <c r="A11" s="65" t="s">
        <v>283</v>
      </c>
      <c r="B11" s="16"/>
      <c r="C11" s="16"/>
      <c r="D11" s="66">
        <f>SUM(D9:D10)</f>
        <v>1029.29</v>
      </c>
    </row>
    <row r="13" spans="1:4" x14ac:dyDescent="0.2">
      <c r="A13" s="67">
        <v>45992</v>
      </c>
    </row>
    <row r="14" spans="1:4" x14ac:dyDescent="0.2">
      <c r="A14" s="64" t="s">
        <v>266</v>
      </c>
      <c r="B14" s="16">
        <v>688.40000000000009</v>
      </c>
      <c r="C14" s="16">
        <v>137.68</v>
      </c>
      <c r="D14" s="16">
        <f>SUM(B14:C14)</f>
        <v>826.08000000000015</v>
      </c>
    </row>
    <row r="15" spans="1:4" x14ac:dyDescent="0.2">
      <c r="A15" s="64" t="s">
        <v>265</v>
      </c>
      <c r="B15" s="16">
        <v>246.57</v>
      </c>
      <c r="C15" s="16">
        <v>147.94</v>
      </c>
      <c r="D15" s="16">
        <f>SUM(B15:C15)</f>
        <v>394.51</v>
      </c>
    </row>
    <row r="16" spans="1:4" x14ac:dyDescent="0.2">
      <c r="A16" s="65" t="s">
        <v>284</v>
      </c>
      <c r="B16" s="16"/>
      <c r="C16" s="16"/>
      <c r="D16" s="66">
        <f>SUM(D14:D15)</f>
        <v>1220.5900000000001</v>
      </c>
    </row>
    <row r="18" spans="1:4" x14ac:dyDescent="0.2">
      <c r="A18" s="67">
        <v>46023</v>
      </c>
    </row>
    <row r="19" spans="1:4" x14ac:dyDescent="0.2">
      <c r="A19" s="64" t="s">
        <v>266</v>
      </c>
      <c r="B19" s="16">
        <v>561.96</v>
      </c>
      <c r="C19" s="16">
        <v>112.4</v>
      </c>
      <c r="D19" s="16">
        <f>SUM(B19:C19)</f>
        <v>674.36</v>
      </c>
    </row>
    <row r="20" spans="1:4" x14ac:dyDescent="0.2">
      <c r="A20" s="64" t="s">
        <v>265</v>
      </c>
      <c r="B20" s="16">
        <v>209.12</v>
      </c>
      <c r="C20" s="16">
        <v>125.48</v>
      </c>
      <c r="D20" s="16">
        <f>SUM(B20:C20)</f>
        <v>334.6</v>
      </c>
    </row>
    <row r="21" spans="1:4" x14ac:dyDescent="0.2">
      <c r="A21" s="65" t="s">
        <v>285</v>
      </c>
      <c r="B21" s="16"/>
      <c r="C21" s="16"/>
      <c r="D21" s="66">
        <v>1008.9464</v>
      </c>
    </row>
    <row r="24" spans="1:4" x14ac:dyDescent="0.2">
      <c r="A24" s="3" t="s">
        <v>286</v>
      </c>
      <c r="B24" s="68"/>
      <c r="C24" s="68"/>
      <c r="D24" s="68"/>
    </row>
    <row r="25" spans="1:4" x14ac:dyDescent="0.2">
      <c r="A25" s="69" t="s">
        <v>266</v>
      </c>
      <c r="B25" s="66">
        <f>SUM(B3+B9+B14+B19)</f>
        <v>2374.2800000000002</v>
      </c>
      <c r="C25" s="66">
        <f t="shared" ref="C25:D25" si="0">SUM(C3+C9+C14+C19)</f>
        <v>474.86</v>
      </c>
      <c r="D25" s="66">
        <f t="shared" si="0"/>
        <v>2849.1400000000003</v>
      </c>
    </row>
    <row r="26" spans="1:4" x14ac:dyDescent="0.2">
      <c r="A26" s="69" t="s">
        <v>265</v>
      </c>
      <c r="B26" s="66">
        <f>SUM(B4+B10+B15+B20)</f>
        <v>897.96</v>
      </c>
      <c r="C26" s="66">
        <f t="shared" ref="C26:D26" si="1">SUM(C4+C10+C15+C20)</f>
        <v>538.78</v>
      </c>
      <c r="D26" s="66">
        <f t="shared" si="1"/>
        <v>1436.7400000000002</v>
      </c>
    </row>
    <row r="27" spans="1:4" x14ac:dyDescent="0.2">
      <c r="A27" s="69" t="s">
        <v>280</v>
      </c>
      <c r="B27" s="66"/>
      <c r="C27" s="66"/>
      <c r="D27" s="66">
        <f>SUM(D25:D26)</f>
        <v>4285.880000000001</v>
      </c>
    </row>
    <row r="29" spans="1:4" ht="65.25" customHeight="1" x14ac:dyDescent="0.2">
      <c r="D29" s="40" t="e" vm="1">
        <v>#VALUE!</v>
      </c>
    </row>
  </sheetData>
  <pageMargins left="0.7" right="0.7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200</vt:i4>
      </vt:variant>
      <vt:variant>
        <vt:lpstr>Named Ranges</vt:lpstr>
      </vt:variant>
      <vt:variant>
        <vt:i4>84</vt:i4>
      </vt:variant>
    </vt:vector>
  </HeadingPairs>
  <TitlesOfParts>
    <vt:vector size="284" baseType="lpstr">
      <vt:lpstr>Nov 2009 IRA </vt:lpstr>
      <vt:lpstr>Dec 2009 IRA</vt:lpstr>
      <vt:lpstr>Sheet3</vt:lpstr>
      <vt:lpstr>Jan 2010</vt:lpstr>
      <vt:lpstr>Feb 2010</vt:lpstr>
      <vt:lpstr>March 2010 </vt:lpstr>
      <vt:lpstr>April 2010</vt:lpstr>
      <vt:lpstr>May 2010</vt:lpstr>
      <vt:lpstr>June 2010 </vt:lpstr>
      <vt:lpstr>July 2010 </vt:lpstr>
      <vt:lpstr>August 2010</vt:lpstr>
      <vt:lpstr>Sept 2010</vt:lpstr>
      <vt:lpstr>Oct 2010 </vt:lpstr>
      <vt:lpstr>Nov 2010</vt:lpstr>
      <vt:lpstr>Dec 2010</vt:lpstr>
      <vt:lpstr>Jan 2011</vt:lpstr>
      <vt:lpstr>Feb 2011 </vt:lpstr>
      <vt:lpstr>Mar 2011</vt:lpstr>
      <vt:lpstr>April 2011</vt:lpstr>
      <vt:lpstr>May 2011</vt:lpstr>
      <vt:lpstr>June 2011</vt:lpstr>
      <vt:lpstr>July 2011</vt:lpstr>
      <vt:lpstr>August 2011 </vt:lpstr>
      <vt:lpstr>Sept 2011 </vt:lpstr>
      <vt:lpstr>Oct 2011  </vt:lpstr>
      <vt:lpstr>Nov 2011</vt:lpstr>
      <vt:lpstr>Dec 2011 </vt:lpstr>
      <vt:lpstr>Jan 2012</vt:lpstr>
      <vt:lpstr>Feb 2012 </vt:lpstr>
      <vt:lpstr>March 2012</vt:lpstr>
      <vt:lpstr>April 2012</vt:lpstr>
      <vt:lpstr>May 2012</vt:lpstr>
      <vt:lpstr>June 2012</vt:lpstr>
      <vt:lpstr>July 2012</vt:lpstr>
      <vt:lpstr>Aug 2012</vt:lpstr>
      <vt:lpstr>Sept 2012 </vt:lpstr>
      <vt:lpstr>Oct  2012</vt:lpstr>
      <vt:lpstr>Nov 2012</vt:lpstr>
      <vt:lpstr>Dec 2012</vt:lpstr>
      <vt:lpstr>Jan 2013</vt:lpstr>
      <vt:lpstr>Feb 2013</vt:lpstr>
      <vt:lpstr>March 2013</vt:lpstr>
      <vt:lpstr>April 2013</vt:lpstr>
      <vt:lpstr>May 2013</vt:lpstr>
      <vt:lpstr>June 2013</vt:lpstr>
      <vt:lpstr>July 2013</vt:lpstr>
      <vt:lpstr>August 2013</vt:lpstr>
      <vt:lpstr>Sept 2013</vt:lpstr>
      <vt:lpstr>Oct 2013 </vt:lpstr>
      <vt:lpstr>Nov 2013</vt:lpstr>
      <vt:lpstr>DEC 2013</vt:lpstr>
      <vt:lpstr>Jan 2014</vt:lpstr>
      <vt:lpstr>Feb 2014</vt:lpstr>
      <vt:lpstr>March 2014</vt:lpstr>
      <vt:lpstr>Apri 2014)</vt:lpstr>
      <vt:lpstr>May 2014</vt:lpstr>
      <vt:lpstr>June 2014</vt:lpstr>
      <vt:lpstr>July 2014</vt:lpstr>
      <vt:lpstr>August 2014</vt:lpstr>
      <vt:lpstr>Sept 2014</vt:lpstr>
      <vt:lpstr>Oct 2014</vt:lpstr>
      <vt:lpstr>Nov 2014</vt:lpstr>
      <vt:lpstr>Dec 2014</vt:lpstr>
      <vt:lpstr>Jan 2015</vt:lpstr>
      <vt:lpstr>Feb 2015</vt:lpstr>
      <vt:lpstr>March 2015</vt:lpstr>
      <vt:lpstr>April 2015</vt:lpstr>
      <vt:lpstr>May 2015</vt:lpstr>
      <vt:lpstr>Sheet1</vt:lpstr>
      <vt:lpstr>June 2015</vt:lpstr>
      <vt:lpstr>July 2015</vt:lpstr>
      <vt:lpstr>Aug 2015</vt:lpstr>
      <vt:lpstr>Sept 2015</vt:lpstr>
      <vt:lpstr>Oct 2015</vt:lpstr>
      <vt:lpstr>Nov 2015</vt:lpstr>
      <vt:lpstr>Dec 2015</vt:lpstr>
      <vt:lpstr>Jan 2016</vt:lpstr>
      <vt:lpstr>Feb 2016</vt:lpstr>
      <vt:lpstr>March 2016</vt:lpstr>
      <vt:lpstr>April 2016</vt:lpstr>
      <vt:lpstr>May 2016</vt:lpstr>
      <vt:lpstr>June 2016</vt:lpstr>
      <vt:lpstr>July 2016</vt:lpstr>
      <vt:lpstr>Aug 2016</vt:lpstr>
      <vt:lpstr>Sept 2016</vt:lpstr>
      <vt:lpstr>Oct 2016</vt:lpstr>
      <vt:lpstr>Nov 2016</vt:lpstr>
      <vt:lpstr>Dec 2016</vt:lpstr>
      <vt:lpstr>Jan 2017</vt:lpstr>
      <vt:lpstr>February 2017</vt:lpstr>
      <vt:lpstr>March 2017</vt:lpstr>
      <vt:lpstr>April 2017</vt:lpstr>
      <vt:lpstr>May 2017</vt:lpstr>
      <vt:lpstr>June 2017</vt:lpstr>
      <vt:lpstr>July 2017</vt:lpstr>
      <vt:lpstr>August 2017</vt:lpstr>
      <vt:lpstr>September 2017</vt:lpstr>
      <vt:lpstr>October 2017</vt:lpstr>
      <vt:lpstr>November 2017</vt:lpstr>
      <vt:lpstr>December 2017</vt:lpstr>
      <vt:lpstr>January 2018</vt:lpstr>
      <vt:lpstr>February 2018</vt:lpstr>
      <vt:lpstr>March 2018</vt:lpstr>
      <vt:lpstr>April 2018</vt:lpstr>
      <vt:lpstr>May 2018</vt:lpstr>
      <vt:lpstr>June 2018</vt:lpstr>
      <vt:lpstr>July 2018</vt:lpstr>
      <vt:lpstr>August 2018</vt:lpstr>
      <vt:lpstr>September 2018</vt:lpstr>
      <vt:lpstr>October 2018</vt:lpstr>
      <vt:lpstr>November 2018</vt:lpstr>
      <vt:lpstr>December 2018</vt:lpstr>
      <vt:lpstr>January 2019</vt:lpstr>
      <vt:lpstr>February 2019</vt:lpstr>
      <vt:lpstr>April 2019</vt:lpstr>
      <vt:lpstr>May 2019</vt:lpstr>
      <vt:lpstr>June 2019</vt:lpstr>
      <vt:lpstr>July 2019</vt:lpstr>
      <vt:lpstr>August 2019</vt:lpstr>
      <vt:lpstr>September 2019</vt:lpstr>
      <vt:lpstr>October 2019</vt:lpstr>
      <vt:lpstr>November 2019</vt:lpstr>
      <vt:lpstr>December 2019</vt:lpstr>
      <vt:lpstr>January 2020</vt:lpstr>
      <vt:lpstr>February 2020</vt:lpstr>
      <vt:lpstr>March 2020</vt:lpstr>
      <vt:lpstr>April 2020</vt:lpstr>
      <vt:lpstr>May 2020</vt:lpstr>
      <vt:lpstr>June 2020</vt:lpstr>
      <vt:lpstr>July 2020</vt:lpstr>
      <vt:lpstr>August 2020</vt:lpstr>
      <vt:lpstr>September 2020</vt:lpstr>
      <vt:lpstr>October 2020</vt:lpstr>
      <vt:lpstr>November 2020</vt:lpstr>
      <vt:lpstr>December 2020</vt:lpstr>
      <vt:lpstr>January 2021</vt:lpstr>
      <vt:lpstr>February 2021</vt:lpstr>
      <vt:lpstr>March 2021</vt:lpstr>
      <vt:lpstr>April 2021</vt:lpstr>
      <vt:lpstr>May 2021</vt:lpstr>
      <vt:lpstr>June 2021</vt:lpstr>
      <vt:lpstr>July 2021</vt:lpstr>
      <vt:lpstr>August 2021</vt:lpstr>
      <vt:lpstr>September 2021</vt:lpstr>
      <vt:lpstr>October 2021</vt:lpstr>
      <vt:lpstr>November 2021</vt:lpstr>
      <vt:lpstr>December 2021</vt:lpstr>
      <vt:lpstr>January 2022</vt:lpstr>
      <vt:lpstr>February 2022</vt:lpstr>
      <vt:lpstr>March 2022</vt:lpstr>
      <vt:lpstr>April 2022</vt:lpstr>
      <vt:lpstr>May 2022</vt:lpstr>
      <vt:lpstr>June 2022</vt:lpstr>
      <vt:lpstr>July 2022</vt:lpstr>
      <vt:lpstr>August 2022</vt:lpstr>
      <vt:lpstr>September 2022</vt:lpstr>
      <vt:lpstr>October 2022</vt:lpstr>
      <vt:lpstr>November 2022</vt:lpstr>
      <vt:lpstr>December 2022</vt:lpstr>
      <vt:lpstr>January 2023</vt:lpstr>
      <vt:lpstr>February 2023</vt:lpstr>
      <vt:lpstr>March 2023</vt:lpstr>
      <vt:lpstr>April 2023</vt:lpstr>
      <vt:lpstr>May 2023</vt:lpstr>
      <vt:lpstr>June 2023</vt:lpstr>
      <vt:lpstr>July 2023</vt:lpstr>
      <vt:lpstr>August 2023</vt:lpstr>
      <vt:lpstr>September 2023</vt:lpstr>
      <vt:lpstr>October 2023</vt:lpstr>
      <vt:lpstr>November 2023</vt:lpstr>
      <vt:lpstr>December 2023</vt:lpstr>
      <vt:lpstr>January 2024</vt:lpstr>
      <vt:lpstr>February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November 2024</vt:lpstr>
      <vt:lpstr>December 2024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Template</vt:lpstr>
      <vt:lpstr>Number Input</vt:lpstr>
      <vt:lpstr>Sheet6</vt:lpstr>
      <vt:lpstr>Sheet4</vt:lpstr>
      <vt:lpstr>'Apri 2014)'!Print_Area</vt:lpstr>
      <vt:lpstr>'April 2011'!Print_Area</vt:lpstr>
      <vt:lpstr>'April 2012'!Print_Area</vt:lpstr>
      <vt:lpstr>'April 2013'!Print_Area</vt:lpstr>
      <vt:lpstr>'April 2015'!Print_Area</vt:lpstr>
      <vt:lpstr>'April 2016'!Print_Area</vt:lpstr>
      <vt:lpstr>'April 2017'!Print_Area</vt:lpstr>
      <vt:lpstr>'Aug 2012'!Print_Area</vt:lpstr>
      <vt:lpstr>'Aug 2015'!Print_Area</vt:lpstr>
      <vt:lpstr>'Aug 2016'!Print_Area</vt:lpstr>
      <vt:lpstr>'August 2011 '!Print_Area</vt:lpstr>
      <vt:lpstr>'August 2013'!Print_Area</vt:lpstr>
      <vt:lpstr>'August 2014'!Print_Area</vt:lpstr>
      <vt:lpstr>'August 2017'!Print_Area</vt:lpstr>
      <vt:lpstr>'Dec 2010'!Print_Area</vt:lpstr>
      <vt:lpstr>'Dec 2011 '!Print_Area</vt:lpstr>
      <vt:lpstr>'Dec 2012'!Print_Area</vt:lpstr>
      <vt:lpstr>'DEC 2013'!Print_Area</vt:lpstr>
      <vt:lpstr>'Dec 2014'!Print_Area</vt:lpstr>
      <vt:lpstr>'Dec 2015'!Print_Area</vt:lpstr>
      <vt:lpstr>'Dec 2016'!Print_Area</vt:lpstr>
      <vt:lpstr>'Feb 2011 '!Print_Area</vt:lpstr>
      <vt:lpstr>'Feb 2012 '!Print_Area</vt:lpstr>
      <vt:lpstr>'Feb 2013'!Print_Area</vt:lpstr>
      <vt:lpstr>'Feb 2014'!Print_Area</vt:lpstr>
      <vt:lpstr>'Feb 2015'!Print_Area</vt:lpstr>
      <vt:lpstr>'Feb 2016'!Print_Area</vt:lpstr>
      <vt:lpstr>'February 2017'!Print_Area</vt:lpstr>
      <vt:lpstr>'Jan 2011'!Print_Area</vt:lpstr>
      <vt:lpstr>'Jan 2012'!Print_Area</vt:lpstr>
      <vt:lpstr>'Jan 2013'!Print_Area</vt:lpstr>
      <vt:lpstr>'Jan 2014'!Print_Area</vt:lpstr>
      <vt:lpstr>'Jan 2015'!Print_Area</vt:lpstr>
      <vt:lpstr>'Jan 2016'!Print_Area</vt:lpstr>
      <vt:lpstr>'Jan 2017'!Print_Area</vt:lpstr>
      <vt:lpstr>'July 2011'!Print_Area</vt:lpstr>
      <vt:lpstr>'July 2012'!Print_Area</vt:lpstr>
      <vt:lpstr>'July 2013'!Print_Area</vt:lpstr>
      <vt:lpstr>'July 2014'!Print_Area</vt:lpstr>
      <vt:lpstr>'July 2015'!Print_Area</vt:lpstr>
      <vt:lpstr>'July 2016'!Print_Area</vt:lpstr>
      <vt:lpstr>'July 2017'!Print_Area</vt:lpstr>
      <vt:lpstr>'June 2011'!Print_Area</vt:lpstr>
      <vt:lpstr>'June 2012'!Print_Area</vt:lpstr>
      <vt:lpstr>'June 2013'!Print_Area</vt:lpstr>
      <vt:lpstr>'June 2014'!Print_Area</vt:lpstr>
      <vt:lpstr>'June 2015'!Print_Area</vt:lpstr>
      <vt:lpstr>'June 2016'!Print_Area</vt:lpstr>
      <vt:lpstr>'June 2017'!Print_Area</vt:lpstr>
      <vt:lpstr>'Mar 2011'!Print_Area</vt:lpstr>
      <vt:lpstr>'March 2012'!Print_Area</vt:lpstr>
      <vt:lpstr>'March 2013'!Print_Area</vt:lpstr>
      <vt:lpstr>'March 2014'!Print_Area</vt:lpstr>
      <vt:lpstr>'March 2015'!Print_Area</vt:lpstr>
      <vt:lpstr>'March 2016'!Print_Area</vt:lpstr>
      <vt:lpstr>'March 2017'!Print_Area</vt:lpstr>
      <vt:lpstr>'May 2011'!Print_Area</vt:lpstr>
      <vt:lpstr>'May 2012'!Print_Area</vt:lpstr>
      <vt:lpstr>'May 2013'!Print_Area</vt:lpstr>
      <vt:lpstr>'May 2014'!Print_Area</vt:lpstr>
      <vt:lpstr>'May 2015'!Print_Area</vt:lpstr>
      <vt:lpstr>'May 2016'!Print_Area</vt:lpstr>
      <vt:lpstr>'May 2017'!Print_Area</vt:lpstr>
      <vt:lpstr>'Nov 2010'!Print_Area</vt:lpstr>
      <vt:lpstr>'Nov 2011'!Print_Area</vt:lpstr>
      <vt:lpstr>'Nov 2012'!Print_Area</vt:lpstr>
      <vt:lpstr>'Nov 2013'!Print_Area</vt:lpstr>
      <vt:lpstr>'Nov 2014'!Print_Area</vt:lpstr>
      <vt:lpstr>'Nov 2015'!Print_Area</vt:lpstr>
      <vt:lpstr>'Nov 2016'!Print_Area</vt:lpstr>
      <vt:lpstr>'Oct  2012'!Print_Area</vt:lpstr>
      <vt:lpstr>'Oct 2011  '!Print_Area</vt:lpstr>
      <vt:lpstr>'Oct 2013 '!Print_Area</vt:lpstr>
      <vt:lpstr>'Oct 2014'!Print_Area</vt:lpstr>
      <vt:lpstr>'Oct 2015'!Print_Area</vt:lpstr>
      <vt:lpstr>'Oct 2016'!Print_Area</vt:lpstr>
      <vt:lpstr>'October 2017'!Print_Area</vt:lpstr>
      <vt:lpstr>'Sept 2011 '!Print_Area</vt:lpstr>
      <vt:lpstr>'Sept 2012 '!Print_Area</vt:lpstr>
      <vt:lpstr>'Sept 2013'!Print_Area</vt:lpstr>
      <vt:lpstr>'Sept 2014'!Print_Area</vt:lpstr>
      <vt:lpstr>'Sept 2015'!Print_Area</vt:lpstr>
      <vt:lpstr>'Sept 2016'!Print_Area</vt:lpstr>
      <vt:lpstr>'September 2017'!Print_Area</vt:lpstr>
    </vt:vector>
  </TitlesOfParts>
  <Company>Home Protection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G. Moerschell</dc:creator>
  <cp:lastModifiedBy>Melinda Harris</cp:lastModifiedBy>
  <cp:lastPrinted>2026-02-17T20:13:07Z</cp:lastPrinted>
  <dcterms:created xsi:type="dcterms:W3CDTF">2009-12-09T21:30:28Z</dcterms:created>
  <dcterms:modified xsi:type="dcterms:W3CDTF">2026-03-02T18:17:39Z</dcterms:modified>
</cp:coreProperties>
</file>